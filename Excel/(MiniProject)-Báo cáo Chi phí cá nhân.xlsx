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is-practice\Excel\"/>
    </mc:Choice>
  </mc:AlternateContent>
  <xr:revisionPtr revIDLastSave="0" documentId="13_ncr:1_{92389FFF-DFA4-443F-BD8D-B95993675111}" xr6:coauthVersionLast="47" xr6:coauthVersionMax="47" xr10:uidLastSave="{00000000-0000-0000-0000-000000000000}"/>
  <bookViews>
    <workbookView xWindow="-120" yWindow="-120" windowWidth="20730" windowHeight="11040" activeTab="1" xr2:uid="{65413B0E-DDC6-419D-869E-C7057D34DCD4}"/>
  </bookViews>
  <sheets>
    <sheet name="Dataset" sheetId="1" r:id="rId1"/>
    <sheet name="Analyst - Dashboard" sheetId="4" r:id="rId2"/>
    <sheet name="Analyst" sheetId="5" r:id="rId3"/>
  </sheets>
  <definedNames>
    <definedName name="_xlchart.v5.0" hidden="1">Analyst!$C$5:$C$13</definedName>
    <definedName name="_xlchart.v5.1" hidden="1">Analyst!$D$4</definedName>
    <definedName name="_xlchart.v5.2" hidden="1">Analyst!$D$5:$D$13</definedName>
    <definedName name="_xlchart.v5.3" hidden="1">Analyst!$C$5:$C$13</definedName>
    <definedName name="_xlchart.v5.4" hidden="1">Analyst!$D$4</definedName>
    <definedName name="_xlchart.v5.5" hidden="1">Analyst!$D$5:$D$13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2" i="1"/>
  <c r="H8" i="1"/>
  <c r="H2" i="1"/>
  <c r="H3" i="1"/>
  <c r="H4" i="1"/>
  <c r="H5" i="1"/>
  <c r="H6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</calcChain>
</file>

<file path=xl/sharedStrings.xml><?xml version="1.0" encoding="utf-8"?>
<sst xmlns="http://schemas.openxmlformats.org/spreadsheetml/2006/main" count="2023" uniqueCount="77">
  <si>
    <t>Date</t>
  </si>
  <si>
    <t>Description</t>
  </si>
  <si>
    <t>Debit</t>
  </si>
  <si>
    <t>Credit</t>
  </si>
  <si>
    <t>Sub-category</t>
  </si>
  <si>
    <t>Category</t>
  </si>
  <si>
    <t>Category Type</t>
  </si>
  <si>
    <t>Data With Decision</t>
  </si>
  <si>
    <t>Data with Decision</t>
  </si>
  <si>
    <t>Salary</t>
  </si>
  <si>
    <t>Income</t>
  </si>
  <si>
    <t>Drink</t>
  </si>
  <si>
    <t>Coffee</t>
  </si>
  <si>
    <t>Dining Out</t>
  </si>
  <si>
    <t>Expense</t>
  </si>
  <si>
    <t>Estate Mangement</t>
  </si>
  <si>
    <t>Rent</t>
  </si>
  <si>
    <t>Living Expenses</t>
  </si>
  <si>
    <t>Financail upgrade</t>
  </si>
  <si>
    <t>Cash loan</t>
  </si>
  <si>
    <t>Transport</t>
  </si>
  <si>
    <t>Green's</t>
  </si>
  <si>
    <t>Groceries</t>
  </si>
  <si>
    <t>Power source</t>
  </si>
  <si>
    <t>Gas/Electrics</t>
  </si>
  <si>
    <t>Fuel</t>
  </si>
  <si>
    <t>Cinemas</t>
  </si>
  <si>
    <t>Entertainment</t>
  </si>
  <si>
    <t>Discretionary</t>
  </si>
  <si>
    <t>Fashionistas</t>
  </si>
  <si>
    <t>Clothes</t>
  </si>
  <si>
    <t>Burger</t>
  </si>
  <si>
    <t>Restaurant</t>
  </si>
  <si>
    <t>Uba</t>
  </si>
  <si>
    <t>Taxi</t>
  </si>
  <si>
    <t>Onlne earning</t>
  </si>
  <si>
    <t>YouTube</t>
  </si>
  <si>
    <t>Passive</t>
  </si>
  <si>
    <t>Teachable</t>
  </si>
  <si>
    <t>Phone</t>
  </si>
  <si>
    <t>Sallah give away</t>
  </si>
  <si>
    <t>Gifts</t>
  </si>
  <si>
    <t>Online streaming</t>
  </si>
  <si>
    <t>Suya</t>
  </si>
  <si>
    <t>Oha soup/White soup</t>
  </si>
  <si>
    <t>Orphanage</t>
  </si>
  <si>
    <t>Donation</t>
  </si>
  <si>
    <t>Charity</t>
  </si>
  <si>
    <t>Fueling</t>
  </si>
  <si>
    <t>Trainers</t>
  </si>
  <si>
    <t>Hangingout/Ticket</t>
  </si>
  <si>
    <t>Global Fashion</t>
  </si>
  <si>
    <t>Taken medication</t>
  </si>
  <si>
    <t>Doctor</t>
  </si>
  <si>
    <t>Medical</t>
  </si>
  <si>
    <t>Sport ware</t>
  </si>
  <si>
    <t>Foodary</t>
  </si>
  <si>
    <t>Clubing</t>
  </si>
  <si>
    <t>Home décor</t>
  </si>
  <si>
    <t>Furnishings</t>
  </si>
  <si>
    <t>Feedings</t>
  </si>
  <si>
    <t>Month</t>
  </si>
  <si>
    <t>Weekdays</t>
  </si>
  <si>
    <t>Amount</t>
  </si>
  <si>
    <t>Row Labels</t>
  </si>
  <si>
    <t>Grand Total</t>
  </si>
  <si>
    <t>Sum of Amount</t>
  </si>
  <si>
    <t>Sum of Debit</t>
  </si>
  <si>
    <t>Tổng hợp dòng tiền theo nhóm</t>
  </si>
  <si>
    <t>Top 5 dòng tiền ra</t>
  </si>
  <si>
    <t>Dòng tiền vào/ra</t>
  </si>
  <si>
    <t>Sum of Credit</t>
  </si>
  <si>
    <t>Dòng tiền vào</t>
  </si>
  <si>
    <t>Chi phí các ngày trong tuần</t>
  </si>
  <si>
    <t>Column Labels</t>
  </si>
  <si>
    <t>6 chi phí</t>
  </si>
  <si>
    <t>Chi phí / Thu thập theo từng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</si>
</sst>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_-[$£-809]* #,##0_-;\-[$£-809]* #,##0_-;_-[$£-8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D1D1D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65" fontId="1" fillId="0" borderId="0" xfId="0" applyNumberFormat="1" applyFont="1"/>
    <xf numFmtId="0" fontId="1" fillId="0" borderId="0" xfId="0" pivotButton="1" applyFont="1"/>
    <xf numFmtId="0" fontId="1" fillId="0" borderId="0" xfId="0" applyFont="1" applyAlignment="1">
      <alignment horizontal="left"/>
    </xf>
    <xf numFmtId="1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114"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-[$£-809]* #,##0_-;\-[$£-809]* #,##0_-;_-[$£-809]* &quot;-&quot;??_-;_-@_-"/>
    </dxf>
    <dxf>
      <numFmt numFmtId="165" formatCode="_-[$£-809]* #,##0_-;\-[$£-809]* #,##0_-;_-[$£-809]* &quot;-&quot;??_-;_-@_-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1D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nhân.xlsx]Analyst!PivotTable3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Analyst!$L$6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Analyst!$K$7:$K$12</c:f>
              <c:strCache>
                <c:ptCount val="5"/>
                <c:pt idx="0">
                  <c:v>Rent</c:v>
                </c:pt>
                <c:pt idx="1">
                  <c:v>Groceries</c:v>
                </c:pt>
                <c:pt idx="2">
                  <c:v>Clothes</c:v>
                </c:pt>
                <c:pt idx="3">
                  <c:v>Entertainment</c:v>
                </c:pt>
                <c:pt idx="4">
                  <c:v>Cash loan</c:v>
                </c:pt>
              </c:strCache>
            </c:strRef>
          </c:cat>
          <c:val>
            <c:numRef>
              <c:f>Analyst!$L$7:$L$12</c:f>
              <c:numCache>
                <c:formatCode>_-[$£-809]* #,##0_-;\-[$£-809]* #,##0_-;_-[$£-809]* "-"??_-;_-@_-</c:formatCode>
                <c:ptCount val="5"/>
                <c:pt idx="0">
                  <c:v>9000</c:v>
                </c:pt>
                <c:pt idx="1">
                  <c:v>6454.0999999999995</c:v>
                </c:pt>
                <c:pt idx="2">
                  <c:v>4303.6000000000004</c:v>
                </c:pt>
                <c:pt idx="3">
                  <c:v>1812.5999999999995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E-4BD9-A52F-D5E5B5F82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383508016"/>
        <c:axId val="383507536"/>
      </c:barChart>
      <c:catAx>
        <c:axId val="3835080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07536"/>
        <c:crosses val="autoZero"/>
        <c:auto val="1"/>
        <c:lblAlgn val="ctr"/>
        <c:lblOffset val="100"/>
        <c:noMultiLvlLbl val="0"/>
      </c:catAx>
      <c:valAx>
        <c:axId val="383507536"/>
        <c:scaling>
          <c:orientation val="minMax"/>
        </c:scaling>
        <c:delete val="1"/>
        <c:axPos val="t"/>
        <c:numFmt formatCode="_-[$£-809]* #,##0_-;\-[$£-809]* #,##0_-;_-[$£-809]* &quot;-&quot;??_-;_-@_-" sourceLinked="1"/>
        <c:majorTickMark val="out"/>
        <c:minorTickMark val="none"/>
        <c:tickLblPos val="nextTo"/>
        <c:crossAx val="38350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nhân.xlsx]Analyst!PivotTable4</c:name>
    <c:fmtId val="36"/>
  </c:pivotSource>
  <c:chart>
    <c:autoTitleDeleted val="0"/>
    <c:pivotFmts>
      <c:pivotFmt>
        <c:idx val="0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4036414316638495E-3"/>
              <c:y val="-1.09189547035331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7.650302849587355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Analyst!$C$17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2D-471B-BCDC-19B13D5CAFFC}"/>
              </c:ext>
            </c:extLst>
          </c:dPt>
          <c:dLbls>
            <c:dLbl>
              <c:idx val="0"/>
              <c:layout>
                <c:manualLayout>
                  <c:x val="0"/>
                  <c:y val="-7.650302849587355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2D-471B-BCDC-19B13D5CA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Analyst!$C$18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Analyst!$C$18</c:f>
              <c:numCache>
                <c:formatCode>_-[$£-809]* #,##0_-;\-[$£-809]* #,##0_-;_-[$£-809]* "-"??_-;_-@_-</c:formatCode>
                <c:ptCount val="1"/>
                <c:pt idx="0">
                  <c:v>30190.999999999993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D-471B-BCDC-19B13D5CAFFC}"/>
            </c:ext>
          </c:extLst>
        </c:ser>
        <c:ser>
          <c:idx val="1"/>
          <c:order val="1"/>
          <c:tx>
            <c:strRef>
              <c:f>Analyst!$D$17</c:f>
              <c:strCache>
                <c:ptCount val="1"/>
                <c:pt idx="0">
                  <c:v>Sum of Credit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2D-471B-BCDC-19B13D5CAFFC}"/>
              </c:ext>
            </c:extLst>
          </c:dPt>
          <c:dLbls>
            <c:dLbl>
              <c:idx val="0"/>
              <c:layout>
                <c:manualLayout>
                  <c:x val="-6.4036414316638495E-3"/>
                  <c:y val="-1.09189547035331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2D-471B-BCDC-19B13D5CA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Analyst!$C$18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Analyst!$D$18</c:f>
              <c:numCache>
                <c:formatCode>_-[$£-809]* #,##0_-;\-[$£-809]* #,##0_-;_-[$£-809]* "-"??_-;_-@_-</c:formatCode>
                <c:ptCount val="1"/>
                <c:pt idx="0">
                  <c:v>65440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D-471B-BCDC-19B13D5CAFFC}"/>
            </c:ext>
          </c:extLst>
        </c:ser>
        <c:ser>
          <c:idx val="2"/>
          <c:order val="2"/>
          <c:tx>
            <c:strRef>
              <c:f>Analyst!$E$17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2D-471B-BCDC-19B13D5CAFF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22D-471B-BCDC-19B13D5CA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Analyst!$C$18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Analyst!$E$18</c:f>
              <c:numCache>
                <c:formatCode>_-[$£-809]* #,##0_-;\-[$£-809]* #,##0_-;_-[$£-809]* "-"??_-;_-@_-</c:formatCode>
                <c:ptCount val="1"/>
                <c:pt idx="0">
                  <c:v>35249.000000000007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2D-471B-BCDC-19B13D5CAF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2120592"/>
        <c:axId val="320589376"/>
      </c:barChart>
      <c:catAx>
        <c:axId val="392120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0589376"/>
        <c:crosses val="autoZero"/>
        <c:auto val="1"/>
        <c:lblAlgn val="ctr"/>
        <c:lblOffset val="100"/>
        <c:noMultiLvlLbl val="0"/>
      </c:catAx>
      <c:valAx>
        <c:axId val="320589376"/>
        <c:scaling>
          <c:orientation val="minMax"/>
        </c:scaling>
        <c:delete val="1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crossAx val="3921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nhân.xlsx]Analyst!PivotTable5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2"/>
        <c:spPr>
          <a:solidFill>
            <a:srgbClr val="FFC000"/>
          </a:solidFill>
          <a:ln w="57150">
            <a:solidFill>
              <a:srgbClr val="FFC000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>
                    <a:reflection endPos="65000" dist="508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6"/>
        <c:spPr>
          <a:solidFill>
            <a:srgbClr val="FFC000"/>
          </a:solidFill>
          <a:ln w="57150">
            <a:solidFill>
              <a:srgbClr val="FFC000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>
                    <a:reflection endPos="65000" dist="508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10"/>
        <c:spPr>
          <a:solidFill>
            <a:srgbClr val="FFC000"/>
          </a:solidFill>
          <a:ln w="57150">
            <a:solidFill>
              <a:srgbClr val="FFC000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1320688863969074E-3"/>
          <c:y val="8.3611654806320518E-2"/>
          <c:w val="0.62942254445144685"/>
          <c:h val="0.65412647827192749"/>
        </c:manualLayout>
      </c:layout>
      <c:doughnutChart>
        <c:varyColors val="1"/>
        <c:ser>
          <c:idx val="0"/>
          <c:order val="0"/>
          <c:tx>
            <c:strRef>
              <c:f>Analyst!$D$35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r="5400000" sx="1000" sy="1000" algn="ctr" rotWithShape="0">
                <a:srgbClr val="000000">
                  <a:alpha val="43137"/>
                </a:srgbClr>
              </a:outerShdw>
            </a:effectLst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79-4649-B073-1F63F8A5C6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79-4649-B073-1F63F8A5C60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57150">
                <a:solidFill>
                  <a:srgbClr val="FFC000"/>
                </a:solidFill>
              </a:ln>
              <a:effectLst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79-4649-B073-1F63F8A5C609}"/>
              </c:ext>
            </c:extLst>
          </c:dPt>
          <c:cat>
            <c:strRef>
              <c:f>Analyst!$C$36:$C$39</c:f>
              <c:strCache>
                <c:ptCount val="3"/>
                <c:pt idx="0">
                  <c:v>Data with Decision</c:v>
                </c:pt>
                <c:pt idx="1">
                  <c:v>Teachable</c:v>
                </c:pt>
                <c:pt idx="2">
                  <c:v>YouTube</c:v>
                </c:pt>
              </c:strCache>
            </c:strRef>
          </c:cat>
          <c:val>
            <c:numRef>
              <c:f>Analyst!$D$36:$D$39</c:f>
              <c:numCache>
                <c:formatCode>_-[$£-809]* #,##0_-;\-[$£-809]* #,##0_-;_-[$£-809]* "-"??_-;_-@_-</c:formatCode>
                <c:ptCount val="3"/>
                <c:pt idx="0">
                  <c:v>50000</c:v>
                </c:pt>
                <c:pt idx="1">
                  <c:v>4500</c:v>
                </c:pt>
                <c:pt idx="2">
                  <c:v>10940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79-4649-B073-1F63F8A5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5"/>
        <c:holeSize val="75"/>
      </c:doughnutChart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effectLst>
            <a:reflection endPos="65000" dist="50800" dir="5400000" sy="-100000" algn="bl" rotWithShape="0"/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nhân.xlsx]Analyst!PivotTable2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597897667596088E-2"/>
          <c:y val="0.43443765560601916"/>
          <c:w val="0.95480420466480787"/>
          <c:h val="0.445017583672348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Analyst!$L$19:$L$20</c:f>
              <c:strCache>
                <c:ptCount val="1"/>
                <c:pt idx="0">
                  <c:v>Charity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Analyst!$L$21:$L$28</c:f>
              <c:numCache>
                <c:formatCode>_-[$£-809]* #,##0_-;\-[$£-809]* #,##0_-;_-[$£-809]* "-"??_-;_-@_-</c:formatCode>
                <c:ptCount val="7"/>
                <c:pt idx="1">
                  <c:v>55</c:v>
                </c:pt>
                <c:pt idx="3">
                  <c:v>110</c:v>
                </c:pt>
                <c:pt idx="4">
                  <c:v>275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1-4E3D-BBA6-C768BD063348}"/>
            </c:ext>
          </c:extLst>
        </c:ser>
        <c:ser>
          <c:idx val="1"/>
          <c:order val="1"/>
          <c:tx>
            <c:strRef>
              <c:f>Analyst!$M$19:$M$20</c:f>
              <c:strCache>
                <c:ptCount val="1"/>
                <c:pt idx="0">
                  <c:v>Dining 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Analyst!$M$21:$M$28</c:f>
              <c:numCache>
                <c:formatCode>_-[$£-809]* #,##0_-;\-[$£-809]* #,##0_-;_-[$£-809]* "-"??_-;_-@_-</c:formatCode>
                <c:ptCount val="7"/>
                <c:pt idx="0">
                  <c:v>254</c:v>
                </c:pt>
                <c:pt idx="1">
                  <c:v>284.10000000000002</c:v>
                </c:pt>
                <c:pt idx="2">
                  <c:v>533.90000000000009</c:v>
                </c:pt>
                <c:pt idx="3">
                  <c:v>455.70000000000005</c:v>
                </c:pt>
                <c:pt idx="4">
                  <c:v>484.20000000000005</c:v>
                </c:pt>
                <c:pt idx="5">
                  <c:v>188</c:v>
                </c:pt>
                <c:pt idx="6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1-4E3D-BBA6-C768BD063348}"/>
            </c:ext>
          </c:extLst>
        </c:ser>
        <c:ser>
          <c:idx val="2"/>
          <c:order val="2"/>
          <c:tx>
            <c:strRef>
              <c:f>Analyst!$N$19:$N$20</c:f>
              <c:strCache>
                <c:ptCount val="1"/>
                <c:pt idx="0">
                  <c:v>Discretionary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Analyst!$N$21:$N$28</c:f>
              <c:numCache>
                <c:formatCode>_-[$£-809]* #,##0_-;\-[$£-809]* #,##0_-;_-[$£-809]* "-"??_-;_-@_-</c:formatCode>
                <c:ptCount val="7"/>
                <c:pt idx="0">
                  <c:v>1164.4000000000001</c:v>
                </c:pt>
                <c:pt idx="1">
                  <c:v>519.20000000000005</c:v>
                </c:pt>
                <c:pt idx="2">
                  <c:v>656.49999999999989</c:v>
                </c:pt>
                <c:pt idx="3">
                  <c:v>1065.1000000000001</c:v>
                </c:pt>
                <c:pt idx="4">
                  <c:v>773.9</c:v>
                </c:pt>
                <c:pt idx="5">
                  <c:v>1241.5000000000002</c:v>
                </c:pt>
                <c:pt idx="6">
                  <c:v>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1-4E3D-BBA6-C768BD063348}"/>
            </c:ext>
          </c:extLst>
        </c:ser>
        <c:ser>
          <c:idx val="3"/>
          <c:order val="3"/>
          <c:tx>
            <c:strRef>
              <c:f>Analyst!$O$19:$O$20</c:f>
              <c:strCache>
                <c:ptCount val="1"/>
                <c:pt idx="0">
                  <c:v>Living Expenses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Analyst!$O$21:$O$28</c:f>
              <c:numCache>
                <c:formatCode>_-[$£-809]* #,##0_-;\-[$£-809]* #,##0_-;_-[$£-809]* "-"??_-;_-@_-</c:formatCode>
                <c:ptCount val="7"/>
                <c:pt idx="0">
                  <c:v>5471</c:v>
                </c:pt>
                <c:pt idx="1">
                  <c:v>2132</c:v>
                </c:pt>
                <c:pt idx="2">
                  <c:v>839.9</c:v>
                </c:pt>
                <c:pt idx="3">
                  <c:v>1403.9</c:v>
                </c:pt>
                <c:pt idx="4">
                  <c:v>1151.7</c:v>
                </c:pt>
                <c:pt idx="5">
                  <c:v>2039.3</c:v>
                </c:pt>
                <c:pt idx="6">
                  <c:v>3362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D1-4E3D-BBA6-C768BD063348}"/>
            </c:ext>
          </c:extLst>
        </c:ser>
        <c:ser>
          <c:idx val="4"/>
          <c:order val="4"/>
          <c:tx>
            <c:strRef>
              <c:f>Analyst!$P$19:$P$20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Analyst!$P$21:$P$28</c:f>
              <c:numCache>
                <c:formatCode>_-[$£-809]* #,##0_-;\-[$£-809]* #,##0_-;_-[$£-809]* "-"??_-;_-@_-</c:formatCode>
                <c:ptCount val="7"/>
                <c:pt idx="0">
                  <c:v>75</c:v>
                </c:pt>
                <c:pt idx="1">
                  <c:v>75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D1-4E3D-BBA6-C768BD063348}"/>
            </c:ext>
          </c:extLst>
        </c:ser>
        <c:ser>
          <c:idx val="5"/>
          <c:order val="5"/>
          <c:tx>
            <c:strRef>
              <c:f>Analyst!$Q$19:$Q$20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Analyst!$Q$21:$Q$28</c:f>
              <c:numCache>
                <c:formatCode>_-[$£-809]* #,##0_-;\-[$£-809]* #,##0_-;_-[$£-809]* "-"??_-;_-@_-</c:formatCode>
                <c:ptCount val="7"/>
                <c:pt idx="0">
                  <c:v>351.1</c:v>
                </c:pt>
                <c:pt idx="1">
                  <c:v>1003.1</c:v>
                </c:pt>
                <c:pt idx="2">
                  <c:v>430.1</c:v>
                </c:pt>
                <c:pt idx="3">
                  <c:v>451.09999999999991</c:v>
                </c:pt>
                <c:pt idx="4">
                  <c:v>422</c:v>
                </c:pt>
                <c:pt idx="5">
                  <c:v>542.80000000000007</c:v>
                </c:pt>
                <c:pt idx="6">
                  <c:v>314.5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D1-4E3D-BBA6-C768BD063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1463792"/>
        <c:axId val="1301465232"/>
      </c:barChart>
      <c:catAx>
        <c:axId val="130146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65232"/>
        <c:crosses val="autoZero"/>
        <c:auto val="1"/>
        <c:lblAlgn val="ctr"/>
        <c:lblOffset val="100"/>
        <c:noMultiLvlLbl val="0"/>
      </c:catAx>
      <c:valAx>
        <c:axId val="1301465232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30146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485279709609545E-2"/>
          <c:y val="0.1954267690527304"/>
          <c:w val="0.76555959724007705"/>
          <c:h val="0.18696555542047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nhân.xlsx]Analyst!PivotTable3</c:name>
    <c:fmtId val="15"/>
  </c:pivotSource>
  <c:chart>
    <c:autoTitleDeleted val="1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Analyst!$L$6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Analyst!$K$7:$K$12</c:f>
              <c:strCache>
                <c:ptCount val="5"/>
                <c:pt idx="0">
                  <c:v>Rent</c:v>
                </c:pt>
                <c:pt idx="1">
                  <c:v>Groceries</c:v>
                </c:pt>
                <c:pt idx="2">
                  <c:v>Clothes</c:v>
                </c:pt>
                <c:pt idx="3">
                  <c:v>Entertainment</c:v>
                </c:pt>
                <c:pt idx="4">
                  <c:v>Cash loan</c:v>
                </c:pt>
              </c:strCache>
            </c:strRef>
          </c:cat>
          <c:val>
            <c:numRef>
              <c:f>Analyst!$L$7:$L$12</c:f>
              <c:numCache>
                <c:formatCode>_-[$£-809]* #,##0_-;\-[$£-809]* #,##0_-;_-[$£-809]* "-"??_-;_-@_-</c:formatCode>
                <c:ptCount val="5"/>
                <c:pt idx="0">
                  <c:v>9000</c:v>
                </c:pt>
                <c:pt idx="1">
                  <c:v>6454.0999999999995</c:v>
                </c:pt>
                <c:pt idx="2">
                  <c:v>4303.6000000000004</c:v>
                </c:pt>
                <c:pt idx="3">
                  <c:v>1812.5999999999995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F-478C-B7FA-13BC7DECD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383508016"/>
        <c:axId val="383507536"/>
      </c:barChart>
      <c:catAx>
        <c:axId val="3835080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07536"/>
        <c:crosses val="autoZero"/>
        <c:auto val="1"/>
        <c:lblAlgn val="ctr"/>
        <c:lblOffset val="100"/>
        <c:noMultiLvlLbl val="0"/>
      </c:catAx>
      <c:valAx>
        <c:axId val="383507536"/>
        <c:scaling>
          <c:orientation val="minMax"/>
        </c:scaling>
        <c:delete val="1"/>
        <c:axPos val="t"/>
        <c:numFmt formatCode="_-[$£-809]* #,##0_-;\-[$£-809]* #,##0_-;_-[$£-809]* &quot;-&quot;??_-;_-@_-" sourceLinked="1"/>
        <c:majorTickMark val="out"/>
        <c:minorTickMark val="none"/>
        <c:tickLblPos val="nextTo"/>
        <c:crossAx val="38350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nhân.xlsx]Analyst!PivotTable4</c:name>
    <c:fmtId val="32"/>
  </c:pivotSource>
  <c:chart>
    <c:autoTitleDeleted val="0"/>
    <c:pivotFmts>
      <c:pivotFmt>
        <c:idx val="0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Analyst!$C$17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Analyst!$C$18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Analyst!$C$18</c:f>
              <c:numCache>
                <c:formatCode>_-[$£-809]* #,##0_-;\-[$£-809]* #,##0_-;_-[$£-809]* "-"??_-;_-@_-</c:formatCode>
                <c:ptCount val="1"/>
                <c:pt idx="0">
                  <c:v>30190.999999999993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5-40B3-AFDE-2A8359BC1838}"/>
            </c:ext>
          </c:extLst>
        </c:ser>
        <c:ser>
          <c:idx val="1"/>
          <c:order val="1"/>
          <c:tx>
            <c:strRef>
              <c:f>Analyst!$D$17</c:f>
              <c:strCache>
                <c:ptCount val="1"/>
                <c:pt idx="0">
                  <c:v>Sum of Credit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Analyst!$C$18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Analyst!$D$18</c:f>
              <c:numCache>
                <c:formatCode>_-[$£-809]* #,##0_-;\-[$£-809]* #,##0_-;_-[$£-809]* "-"??_-;_-@_-</c:formatCode>
                <c:ptCount val="1"/>
                <c:pt idx="0">
                  <c:v>65440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5-40B3-AFDE-2A8359BC1838}"/>
            </c:ext>
          </c:extLst>
        </c:ser>
        <c:ser>
          <c:idx val="2"/>
          <c:order val="2"/>
          <c:tx>
            <c:strRef>
              <c:f>Analyst!$E$17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35-40B3-AFDE-2A8359BC18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Analyst!$C$18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Analyst!$E$18</c:f>
              <c:numCache>
                <c:formatCode>_-[$£-809]* #,##0_-;\-[$£-809]* #,##0_-;_-[$£-809]* "-"??_-;_-@_-</c:formatCode>
                <c:ptCount val="1"/>
                <c:pt idx="0">
                  <c:v>35249.000000000007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5-40B3-AFDE-2A8359BC18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2120592"/>
        <c:axId val="320589376"/>
      </c:barChart>
      <c:catAx>
        <c:axId val="392120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0589376"/>
        <c:crosses val="autoZero"/>
        <c:auto val="1"/>
        <c:lblAlgn val="ctr"/>
        <c:lblOffset val="100"/>
        <c:noMultiLvlLbl val="0"/>
      </c:catAx>
      <c:valAx>
        <c:axId val="320589376"/>
        <c:scaling>
          <c:orientation val="minMax"/>
        </c:scaling>
        <c:delete val="1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crossAx val="3921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nhân.xlsx]Analyst!PivotTable5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>
                    <a:reflection endPos="65000" dist="508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2"/>
        <c:spPr>
          <a:solidFill>
            <a:srgbClr val="FFC000"/>
          </a:solidFill>
          <a:ln w="57150">
            <a:solidFill>
              <a:srgbClr val="FFC000"/>
            </a:solidFill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Analyst!$D$35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r="5400000" sx="1000" sy="1000" algn="ctr" rotWithShape="0">
                <a:srgbClr val="000000">
                  <a:alpha val="43137"/>
                </a:srgbClr>
              </a:outerShdw>
            </a:effectLst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395-4E8E-8911-0336BCD65A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bubble3D val="0"/>
            <c:spPr>
              <a:solidFill>
                <a:srgbClr val="FFC000"/>
              </a:solidFill>
              <a:ln w="57150">
                <a:solidFill>
                  <a:srgbClr val="FFC000"/>
                </a:solidFill>
              </a:ln>
              <a:effectLst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95-4E8E-8911-0336BCD65A6A}"/>
              </c:ext>
            </c:extLst>
          </c:dPt>
          <c:cat>
            <c:strRef>
              <c:f>Analyst!$C$36:$C$39</c:f>
              <c:strCache>
                <c:ptCount val="3"/>
                <c:pt idx="0">
                  <c:v>Data with Decision</c:v>
                </c:pt>
                <c:pt idx="1">
                  <c:v>Teachable</c:v>
                </c:pt>
                <c:pt idx="2">
                  <c:v>YouTube</c:v>
                </c:pt>
              </c:strCache>
            </c:strRef>
          </c:cat>
          <c:val>
            <c:numRef>
              <c:f>Analyst!$D$36:$D$39</c:f>
              <c:numCache>
                <c:formatCode>_-[$£-809]* #,##0_-;\-[$£-809]* #,##0_-;_-[$£-809]* "-"??_-;_-@_-</c:formatCode>
                <c:ptCount val="3"/>
                <c:pt idx="0">
                  <c:v>50000</c:v>
                </c:pt>
                <c:pt idx="1">
                  <c:v>4500</c:v>
                </c:pt>
                <c:pt idx="2">
                  <c:v>10940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5-4E8E-8911-0336BCD65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5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effectLst>
            <a:reflection endPos="65000" dist="50800" dir="5400000" sy="-100000" algn="bl" rotWithShape="0"/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[(MiniProject)-Báo cáo Chi phí cá nhân.xlsx]Analyst!PivotTable2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597897667596088E-2"/>
          <c:y val="0.22615990785352086"/>
          <c:w val="0.95480420466480787"/>
          <c:h val="0.7234745262743885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Analyst!$L$19:$L$20</c:f>
              <c:strCache>
                <c:ptCount val="1"/>
                <c:pt idx="0">
                  <c:v>Charity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Analyst!$L$21:$L$28</c:f>
              <c:numCache>
                <c:formatCode>_-[$£-809]* #,##0_-;\-[$£-809]* #,##0_-;_-[$£-809]* "-"??_-;_-@_-</c:formatCode>
                <c:ptCount val="7"/>
                <c:pt idx="1">
                  <c:v>55</c:v>
                </c:pt>
                <c:pt idx="3">
                  <c:v>110</c:v>
                </c:pt>
                <c:pt idx="4">
                  <c:v>275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8-4C6C-9B00-8040A64315A5}"/>
            </c:ext>
          </c:extLst>
        </c:ser>
        <c:ser>
          <c:idx val="1"/>
          <c:order val="1"/>
          <c:tx>
            <c:strRef>
              <c:f>Analyst!$M$19:$M$20</c:f>
              <c:strCache>
                <c:ptCount val="1"/>
                <c:pt idx="0">
                  <c:v>Dining 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Analyst!$M$21:$M$28</c:f>
              <c:numCache>
                <c:formatCode>_-[$£-809]* #,##0_-;\-[$£-809]* #,##0_-;_-[$£-809]* "-"??_-;_-@_-</c:formatCode>
                <c:ptCount val="7"/>
                <c:pt idx="0">
                  <c:v>254</c:v>
                </c:pt>
                <c:pt idx="1">
                  <c:v>284.10000000000002</c:v>
                </c:pt>
                <c:pt idx="2">
                  <c:v>533.90000000000009</c:v>
                </c:pt>
                <c:pt idx="3">
                  <c:v>455.70000000000005</c:v>
                </c:pt>
                <c:pt idx="4">
                  <c:v>484.20000000000005</c:v>
                </c:pt>
                <c:pt idx="5">
                  <c:v>188</c:v>
                </c:pt>
                <c:pt idx="6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18-4C6C-9B00-8040A64315A5}"/>
            </c:ext>
          </c:extLst>
        </c:ser>
        <c:ser>
          <c:idx val="2"/>
          <c:order val="2"/>
          <c:tx>
            <c:strRef>
              <c:f>Analyst!$N$19:$N$20</c:f>
              <c:strCache>
                <c:ptCount val="1"/>
                <c:pt idx="0">
                  <c:v>Discretionary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Analyst!$N$21:$N$28</c:f>
              <c:numCache>
                <c:formatCode>_-[$£-809]* #,##0_-;\-[$£-809]* #,##0_-;_-[$£-809]* "-"??_-;_-@_-</c:formatCode>
                <c:ptCount val="7"/>
                <c:pt idx="0">
                  <c:v>1164.4000000000001</c:v>
                </c:pt>
                <c:pt idx="1">
                  <c:v>519.20000000000005</c:v>
                </c:pt>
                <c:pt idx="2">
                  <c:v>656.49999999999989</c:v>
                </c:pt>
                <c:pt idx="3">
                  <c:v>1065.1000000000001</c:v>
                </c:pt>
                <c:pt idx="4">
                  <c:v>773.9</c:v>
                </c:pt>
                <c:pt idx="5">
                  <c:v>1241.5000000000002</c:v>
                </c:pt>
                <c:pt idx="6">
                  <c:v>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18-4C6C-9B00-8040A64315A5}"/>
            </c:ext>
          </c:extLst>
        </c:ser>
        <c:ser>
          <c:idx val="3"/>
          <c:order val="3"/>
          <c:tx>
            <c:strRef>
              <c:f>Analyst!$O$19:$O$20</c:f>
              <c:strCache>
                <c:ptCount val="1"/>
                <c:pt idx="0">
                  <c:v>Living Expenses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Analyst!$O$21:$O$28</c:f>
              <c:numCache>
                <c:formatCode>_-[$£-809]* #,##0_-;\-[$£-809]* #,##0_-;_-[$£-809]* "-"??_-;_-@_-</c:formatCode>
                <c:ptCount val="7"/>
                <c:pt idx="0">
                  <c:v>5471</c:v>
                </c:pt>
                <c:pt idx="1">
                  <c:v>2132</c:v>
                </c:pt>
                <c:pt idx="2">
                  <c:v>839.9</c:v>
                </c:pt>
                <c:pt idx="3">
                  <c:v>1403.9</c:v>
                </c:pt>
                <c:pt idx="4">
                  <c:v>1151.7</c:v>
                </c:pt>
                <c:pt idx="5">
                  <c:v>2039.3</c:v>
                </c:pt>
                <c:pt idx="6">
                  <c:v>3362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18-4C6C-9B00-8040A64315A5}"/>
            </c:ext>
          </c:extLst>
        </c:ser>
        <c:ser>
          <c:idx val="4"/>
          <c:order val="4"/>
          <c:tx>
            <c:strRef>
              <c:f>Analyst!$P$19:$P$20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Analyst!$P$21:$P$28</c:f>
              <c:numCache>
                <c:formatCode>_-[$£-809]* #,##0_-;\-[$£-809]* #,##0_-;_-[$£-809]* "-"??_-;_-@_-</c:formatCode>
                <c:ptCount val="7"/>
                <c:pt idx="0">
                  <c:v>75</c:v>
                </c:pt>
                <c:pt idx="1">
                  <c:v>75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18-4C6C-9B00-8040A64315A5}"/>
            </c:ext>
          </c:extLst>
        </c:ser>
        <c:ser>
          <c:idx val="5"/>
          <c:order val="5"/>
          <c:tx>
            <c:strRef>
              <c:f>Analyst!$Q$19:$Q$20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Analyst!$K$21:$K$28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Analyst!$Q$21:$Q$28</c:f>
              <c:numCache>
                <c:formatCode>_-[$£-809]* #,##0_-;\-[$£-809]* #,##0_-;_-[$£-809]* "-"??_-;_-@_-</c:formatCode>
                <c:ptCount val="7"/>
                <c:pt idx="0">
                  <c:v>351.1</c:v>
                </c:pt>
                <c:pt idx="1">
                  <c:v>1003.1</c:v>
                </c:pt>
                <c:pt idx="2">
                  <c:v>430.1</c:v>
                </c:pt>
                <c:pt idx="3">
                  <c:v>451.09999999999991</c:v>
                </c:pt>
                <c:pt idx="4">
                  <c:v>422</c:v>
                </c:pt>
                <c:pt idx="5">
                  <c:v>542.80000000000007</c:v>
                </c:pt>
                <c:pt idx="6">
                  <c:v>314.5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18-4C6C-9B00-8040A64315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1463792"/>
        <c:axId val="1301465232"/>
      </c:barChart>
      <c:catAx>
        <c:axId val="1301463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465232"/>
        <c:crosses val="autoZero"/>
        <c:auto val="1"/>
        <c:lblAlgn val="ctr"/>
        <c:lblOffset val="100"/>
        <c:noMultiLvlLbl val="0"/>
      </c:catAx>
      <c:valAx>
        <c:axId val="13014652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0146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6702975960583803E-2"/>
          <c:y val="4.5311205068056352E-2"/>
          <c:w val="0.53670276129154504"/>
          <c:h val="0.16782563807222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plotArea>
      <cx:plotAreaRegion>
        <cx:plotSurface>
          <cx:spPr>
            <a:noFill/>
          </cx:spPr>
        </cx:plotSurface>
        <cx:series layoutId="waterfall" uniqueId="{99118982-87C9-4E32-A163-978F49AAF5B9}">
          <cx:tx>
            <cx:txData>
              <cx:f>_xlchart.v5.1</cx:f>
              <cx:v> Sum of Amount </cx:v>
            </cx:txData>
          </cx:tx>
          <cx:spPr>
            <a:ln>
              <a:noFill/>
            </a:ln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bg1"/>
                    </a:solidFill>
                  </a:defRPr>
                </a:pPr>
                <a:endParaRPr lang="en-US" sz="12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8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bg1"/>
                </a:solidFill>
              </a:defRPr>
            </a:pPr>
            <a:endParaRPr lang="en-US" sz="11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000" b="1"/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="1">
              <a:solidFill>
                <a:schemeClr val="bg1"/>
              </a:solidFill>
            </a:defRPr>
          </a:pPr>
          <a:endParaRPr lang="en-US" sz="1000" b="1" i="0" u="none" strike="noStrike" baseline="0">
            <a:solidFill>
              <a:schemeClr val="bg1"/>
            </a:solidFill>
            <a:latin typeface="Calibri" panose="020F0502020204030204"/>
          </a:endParaRPr>
        </a:p>
      </cx:txPr>
    </cx:legend>
  </cx:chart>
  <cx:spPr>
    <a:noFill/>
    <a:ln w="0">
      <a:solidFill>
        <a:schemeClr val="accent5">
          <a:lumMod val="50000"/>
        </a:schemeClr>
      </a:solidFill>
    </a:ln>
  </cx:spPr>
  <cx:fmtOvrs>
    <cx:fmtOvr idx="0">
      <cx:spPr>
        <a:solidFill>
          <a:srgbClr val="002060"/>
        </a:solidFill>
        <a:ln>
          <a:noFill/>
        </a:ln>
      </cx:spPr>
    </cx:fmtOvr>
    <cx:fmtOvr idx="1">
      <cx:spPr>
        <a:solidFill>
          <a:srgbClr val="FF0000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</cx:strDim>
      <cx:numDim type="val">
        <cx:f>_xlchart.v5.5</cx:f>
      </cx:numDim>
    </cx:data>
  </cx:chartData>
  <cx:chart>
    <cx:plotArea>
      <cx:plotAreaRegion>
        <cx:series layoutId="waterfall" uniqueId="{99118982-87C9-4E32-A163-978F49AAF5B9}">
          <cx:tx>
            <cx:txData>
              <cx:f>_xlchart.v5.4</cx:f>
              <cx:v> Sum of Amount </cx:v>
            </cx:txData>
          </cx:tx>
          <cx:dataId val="0"/>
          <cx:layoutPr>
            <cx:subtotals>
              <cx:idx val="8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2060"/>
        </a:solidFill>
        <a:ln>
          <a:noFill/>
        </a:ln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chart" Target="../charts/chart1.xml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chart" Target="../charts/chart4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microsoft.com/office/2014/relationships/chartEx" Target="../charts/chartEx1.xml"/><Relationship Id="rId30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microsoft.com/office/2014/relationships/chartEx" Target="../charts/chartEx2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40551</xdr:colOff>
      <xdr:row>0</xdr:row>
      <xdr:rowOff>153814</xdr:rowOff>
    </xdr:from>
    <xdr:to>
      <xdr:col>2</xdr:col>
      <xdr:colOff>18780</xdr:colOff>
      <xdr:row>40</xdr:row>
      <xdr:rowOff>20545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E0DFC8-5950-E195-6568-5CBEA17C76A4}"/>
            </a:ext>
          </a:extLst>
        </xdr:cNvPr>
        <xdr:cNvSpPr/>
      </xdr:nvSpPr>
      <xdr:spPr>
        <a:xfrm>
          <a:off x="646687" y="153814"/>
          <a:ext cx="584366" cy="7659913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148257</xdr:colOff>
      <xdr:row>0</xdr:row>
      <xdr:rowOff>158749</xdr:rowOff>
    </xdr:from>
    <xdr:to>
      <xdr:col>2</xdr:col>
      <xdr:colOff>310182</xdr:colOff>
      <xdr:row>40</xdr:row>
      <xdr:rowOff>21166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AD6E1CB-83D4-4046-D5AE-C98120DE88CF}"/>
            </a:ext>
          </a:extLst>
        </xdr:cNvPr>
        <xdr:cNvSpPr/>
      </xdr:nvSpPr>
      <xdr:spPr>
        <a:xfrm flipH="1">
          <a:off x="762090" y="158749"/>
          <a:ext cx="775759" cy="7482417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65084</xdr:colOff>
      <xdr:row>0</xdr:row>
      <xdr:rowOff>160101</xdr:rowOff>
    </xdr:from>
    <xdr:to>
      <xdr:col>27</xdr:col>
      <xdr:colOff>6106</xdr:colOff>
      <xdr:row>6</xdr:row>
      <xdr:rowOff>166687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E372315-B566-41DC-B0E1-E5DA88E9B0B8}"/>
            </a:ext>
          </a:extLst>
        </xdr:cNvPr>
        <xdr:cNvSpPr/>
      </xdr:nvSpPr>
      <xdr:spPr>
        <a:xfrm>
          <a:off x="680546" y="160101"/>
          <a:ext cx="15943022" cy="1149586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460381</xdr:colOff>
      <xdr:row>7</xdr:row>
      <xdr:rowOff>163845</xdr:rowOff>
    </xdr:from>
    <xdr:to>
      <xdr:col>17</xdr:col>
      <xdr:colOff>35278</xdr:colOff>
      <xdr:row>18</xdr:row>
      <xdr:rowOff>171465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42A1AC2-5779-4B4C-B4AC-EFA170A3D0EF}"/>
            </a:ext>
          </a:extLst>
        </xdr:cNvPr>
        <xdr:cNvSpPr/>
      </xdr:nvSpPr>
      <xdr:spPr>
        <a:xfrm>
          <a:off x="1693028" y="1471198"/>
          <a:ext cx="8819750" cy="2062032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332902</xdr:colOff>
      <xdr:row>7</xdr:row>
      <xdr:rowOff>163846</xdr:rowOff>
    </xdr:from>
    <xdr:to>
      <xdr:col>21</xdr:col>
      <xdr:colOff>47647</xdr:colOff>
      <xdr:row>18</xdr:row>
      <xdr:rowOff>171466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DE958C2-510F-4B36-8715-E75697291A56}"/>
            </a:ext>
          </a:extLst>
        </xdr:cNvPr>
        <xdr:cNvSpPr/>
      </xdr:nvSpPr>
      <xdr:spPr>
        <a:xfrm>
          <a:off x="10637220" y="1578164"/>
          <a:ext cx="2139291" cy="2230120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255412</xdr:colOff>
      <xdr:row>7</xdr:row>
      <xdr:rowOff>163846</xdr:rowOff>
    </xdr:from>
    <xdr:to>
      <xdr:col>26</xdr:col>
      <xdr:colOff>423758</xdr:colOff>
      <xdr:row>39</xdr:row>
      <xdr:rowOff>180202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D17FD63-31C6-4536-9385-66BE7085A7B5}"/>
            </a:ext>
          </a:extLst>
        </xdr:cNvPr>
        <xdr:cNvSpPr/>
      </xdr:nvSpPr>
      <xdr:spPr>
        <a:xfrm>
          <a:off x="13087204" y="1547667"/>
          <a:ext cx="3223535" cy="6342393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506677</xdr:colOff>
      <xdr:row>7</xdr:row>
      <xdr:rowOff>164685</xdr:rowOff>
    </xdr:from>
    <xdr:to>
      <xdr:col>27</xdr:col>
      <xdr:colOff>4089</xdr:colOff>
      <xdr:row>40</xdr:row>
      <xdr:rowOff>10719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3F61CB0-104E-1FEC-0A0C-6D67813EC16D}"/>
            </a:ext>
          </a:extLst>
        </xdr:cNvPr>
        <xdr:cNvSpPr/>
      </xdr:nvSpPr>
      <xdr:spPr>
        <a:xfrm>
          <a:off x="15739216" y="1505148"/>
          <a:ext cx="716015" cy="6165362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460381</xdr:colOff>
      <xdr:row>19</xdr:row>
      <xdr:rowOff>155077</xdr:rowOff>
    </xdr:from>
    <xdr:to>
      <xdr:col>7</xdr:col>
      <xdr:colOff>414565</xdr:colOff>
      <xdr:row>30</xdr:row>
      <xdr:rowOff>162697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E3BC770-2DE2-4D03-9FE0-782FA7C0B558}"/>
            </a:ext>
          </a:extLst>
        </xdr:cNvPr>
        <xdr:cNvSpPr/>
      </xdr:nvSpPr>
      <xdr:spPr>
        <a:xfrm>
          <a:off x="1681908" y="3746947"/>
          <a:ext cx="3008001" cy="2087124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124422</xdr:colOff>
      <xdr:row>19</xdr:row>
      <xdr:rowOff>155077</xdr:rowOff>
    </xdr:from>
    <xdr:to>
      <xdr:col>13</xdr:col>
      <xdr:colOff>78605</xdr:colOff>
      <xdr:row>30</xdr:row>
      <xdr:rowOff>162697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5F30196-7EE3-443B-BC2C-5310763084A3}"/>
            </a:ext>
          </a:extLst>
        </xdr:cNvPr>
        <xdr:cNvSpPr/>
      </xdr:nvSpPr>
      <xdr:spPr>
        <a:xfrm>
          <a:off x="4994008" y="3795994"/>
          <a:ext cx="2997674" cy="2115520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394597</xdr:colOff>
      <xdr:row>19</xdr:row>
      <xdr:rowOff>155077</xdr:rowOff>
    </xdr:from>
    <xdr:to>
      <xdr:col>21</xdr:col>
      <xdr:colOff>47647</xdr:colOff>
      <xdr:row>30</xdr:row>
      <xdr:rowOff>162697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5D5AC48-6DD9-47E8-A9C8-CD98A00913BB}"/>
            </a:ext>
          </a:extLst>
        </xdr:cNvPr>
        <xdr:cNvSpPr/>
      </xdr:nvSpPr>
      <xdr:spPr>
        <a:xfrm>
          <a:off x="8274370" y="3993941"/>
          <a:ext cx="4502141" cy="2230120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460381</xdr:colOff>
      <xdr:row>31</xdr:row>
      <xdr:rowOff>182789</xdr:rowOff>
    </xdr:from>
    <xdr:to>
      <xdr:col>5</xdr:col>
      <xdr:colOff>4939</xdr:colOff>
      <xdr:row>39</xdr:row>
      <xdr:rowOff>64318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683E483-2816-4C4B-905F-1FED2D028870}"/>
            </a:ext>
          </a:extLst>
        </xdr:cNvPr>
        <xdr:cNvSpPr/>
      </xdr:nvSpPr>
      <xdr:spPr>
        <a:xfrm>
          <a:off x="1679021" y="6044866"/>
          <a:ext cx="1372517" cy="1394323"/>
        </a:xfrm>
        <a:prstGeom prst="roundRect">
          <a:avLst/>
        </a:prstGeom>
        <a:solidFill>
          <a:srgbClr val="FF0000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592344</xdr:colOff>
      <xdr:row>31</xdr:row>
      <xdr:rowOff>182789</xdr:rowOff>
    </xdr:from>
    <xdr:to>
      <xdr:col>8</xdr:col>
      <xdr:colOff>125545</xdr:colOff>
      <xdr:row>39</xdr:row>
      <xdr:rowOff>65905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67E1020-D489-4D41-86DA-C8AA661406D9}"/>
            </a:ext>
          </a:extLst>
        </xdr:cNvPr>
        <xdr:cNvSpPr/>
      </xdr:nvSpPr>
      <xdr:spPr>
        <a:xfrm>
          <a:off x="3623026" y="6446198"/>
          <a:ext cx="1351610" cy="1499480"/>
        </a:xfrm>
        <a:prstGeom prst="roundRect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107984</xdr:colOff>
      <xdr:row>31</xdr:row>
      <xdr:rowOff>182789</xdr:rowOff>
    </xdr:from>
    <xdr:to>
      <xdr:col>11</xdr:col>
      <xdr:colOff>257508</xdr:colOff>
      <xdr:row>39</xdr:row>
      <xdr:rowOff>65904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D7971B5A-2FDF-440F-A91C-5FE25329F311}"/>
            </a:ext>
          </a:extLst>
        </xdr:cNvPr>
        <xdr:cNvSpPr/>
      </xdr:nvSpPr>
      <xdr:spPr>
        <a:xfrm>
          <a:off x="5654896" y="6261980"/>
          <a:ext cx="1382171" cy="1451939"/>
        </a:xfrm>
        <a:prstGeom prst="roundRect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371912</xdr:colOff>
      <xdr:row>32</xdr:row>
      <xdr:rowOff>31598</xdr:rowOff>
    </xdr:from>
    <xdr:to>
      <xdr:col>17</xdr:col>
      <xdr:colOff>526723</xdr:colOff>
      <xdr:row>39</xdr:row>
      <xdr:rowOff>109677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45ACBDD9-3150-4FB1-B6DA-A26D6691809C}"/>
            </a:ext>
          </a:extLst>
        </xdr:cNvPr>
        <xdr:cNvSpPr/>
      </xdr:nvSpPr>
      <xdr:spPr>
        <a:xfrm>
          <a:off x="9443341" y="6321122"/>
          <a:ext cx="1364334" cy="1453912"/>
        </a:xfrm>
        <a:prstGeom prst="roundRect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239948</xdr:colOff>
      <xdr:row>31</xdr:row>
      <xdr:rowOff>182789</xdr:rowOff>
    </xdr:from>
    <xdr:to>
      <xdr:col>14</xdr:col>
      <xdr:colOff>389473</xdr:colOff>
      <xdr:row>39</xdr:row>
      <xdr:rowOff>73843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685051C1-AB97-4AAB-B5AD-F31A5C567DA2}"/>
            </a:ext>
          </a:extLst>
        </xdr:cNvPr>
        <xdr:cNvSpPr/>
      </xdr:nvSpPr>
      <xdr:spPr>
        <a:xfrm>
          <a:off x="7609290" y="6010585"/>
          <a:ext cx="1377749" cy="1395001"/>
        </a:xfrm>
        <a:prstGeom prst="roundRect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509160</xdr:colOff>
      <xdr:row>31</xdr:row>
      <xdr:rowOff>182789</xdr:rowOff>
    </xdr:from>
    <xdr:to>
      <xdr:col>21</xdr:col>
      <xdr:colOff>47647</xdr:colOff>
      <xdr:row>39</xdr:row>
      <xdr:rowOff>65905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65D421B-BF3F-41B4-B13B-B2C3F5AE51E4}"/>
            </a:ext>
          </a:extLst>
        </xdr:cNvPr>
        <xdr:cNvSpPr/>
      </xdr:nvSpPr>
      <xdr:spPr>
        <a:xfrm>
          <a:off x="11563173" y="6010585"/>
          <a:ext cx="1380823" cy="1387063"/>
        </a:xfrm>
        <a:prstGeom prst="roundRect">
          <a:avLst/>
        </a:prstGeom>
        <a:solidFill>
          <a:srgbClr val="002060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560990</xdr:colOff>
      <xdr:row>2</xdr:row>
      <xdr:rowOff>121745</xdr:rowOff>
    </xdr:from>
    <xdr:to>
      <xdr:col>22</xdr:col>
      <xdr:colOff>457200</xdr:colOff>
      <xdr:row>6</xdr:row>
      <xdr:rowOff>38100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D65FB8B-AC2E-8457-8DCE-CB91408A79FE}"/>
            </a:ext>
          </a:extLst>
        </xdr:cNvPr>
        <xdr:cNvSpPr/>
      </xdr:nvSpPr>
      <xdr:spPr>
        <a:xfrm>
          <a:off x="2999390" y="502745"/>
          <a:ext cx="10869010" cy="6783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vi-VN" sz="3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 CÁO CHI PHÍ CÁ NHÂN</a:t>
          </a:r>
          <a:endParaRPr lang="en-US" sz="3600" b="1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7</xdr:col>
      <xdr:colOff>219807</xdr:colOff>
      <xdr:row>1</xdr:row>
      <xdr:rowOff>139656</xdr:rowOff>
    </xdr:from>
    <xdr:to>
      <xdr:col>8</xdr:col>
      <xdr:colOff>427403</xdr:colOff>
      <xdr:row>6</xdr:row>
      <xdr:rowOff>1971</xdr:rowOff>
    </xdr:to>
    <xdr:pic>
      <xdr:nvPicPr>
        <xdr:cNvPr id="31" name="Graphic 30" descr="Bar chart outline">
          <a:extLst>
            <a:ext uri="{FF2B5EF4-FFF2-40B4-BE49-F238E27FC236}">
              <a16:creationId xmlns:a16="http://schemas.microsoft.com/office/drawing/2014/main" id="{24DC2334-DE69-8CE5-3389-E92A5F3DE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93845" y="335041"/>
          <a:ext cx="818173" cy="834353"/>
        </a:xfrm>
        <a:prstGeom prst="rect">
          <a:avLst/>
        </a:prstGeom>
      </xdr:spPr>
    </xdr:pic>
    <xdr:clientData/>
  </xdr:twoCellAnchor>
  <xdr:twoCellAnchor editAs="oneCell">
    <xdr:from>
      <xdr:col>1</xdr:col>
      <xdr:colOff>313662</xdr:colOff>
      <xdr:row>4</xdr:row>
      <xdr:rowOff>12433</xdr:rowOff>
    </xdr:from>
    <xdr:to>
      <xdr:col>2</xdr:col>
      <xdr:colOff>139700</xdr:colOff>
      <xdr:row>6</xdr:row>
      <xdr:rowOff>97281</xdr:rowOff>
    </xdr:to>
    <xdr:pic>
      <xdr:nvPicPr>
        <xdr:cNvPr id="34" name="Graphic 33" descr="Work from home Wi-Fi with solid fill">
          <a:extLst>
            <a:ext uri="{FF2B5EF4-FFF2-40B4-BE49-F238E27FC236}">
              <a16:creationId xmlns:a16="http://schemas.microsoft.com/office/drawing/2014/main" id="{0647C5CF-7417-97BC-3E1F-9AB1530D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7495" y="774433"/>
          <a:ext cx="439872" cy="465848"/>
        </a:xfrm>
        <a:prstGeom prst="rect">
          <a:avLst/>
        </a:prstGeom>
      </xdr:spPr>
    </xdr:pic>
    <xdr:clientData/>
  </xdr:twoCellAnchor>
  <xdr:twoCellAnchor editAs="oneCell">
    <xdr:from>
      <xdr:col>1</xdr:col>
      <xdr:colOff>289153</xdr:colOff>
      <xdr:row>1</xdr:row>
      <xdr:rowOff>12187</xdr:rowOff>
    </xdr:from>
    <xdr:to>
      <xdr:col>2</xdr:col>
      <xdr:colOff>165101</xdr:colOff>
      <xdr:row>3</xdr:row>
      <xdr:rowOff>130424</xdr:rowOff>
    </xdr:to>
    <xdr:pic>
      <xdr:nvPicPr>
        <xdr:cNvPr id="41" name="Graphic 40" descr="Server">
          <a:extLst>
            <a:ext uri="{FF2B5EF4-FFF2-40B4-BE49-F238E27FC236}">
              <a16:creationId xmlns:a16="http://schemas.microsoft.com/office/drawing/2014/main" id="{5D41C750-988D-4754-9410-D2FEAE2D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02986" y="202687"/>
          <a:ext cx="489782" cy="499237"/>
        </a:xfrm>
        <a:prstGeom prst="rect">
          <a:avLst/>
        </a:prstGeom>
      </xdr:spPr>
    </xdr:pic>
    <xdr:clientData/>
  </xdr:twoCellAnchor>
  <xdr:twoCellAnchor>
    <xdr:from>
      <xdr:col>2</xdr:col>
      <xdr:colOff>116041</xdr:colOff>
      <xdr:row>1</xdr:row>
      <xdr:rowOff>98821</xdr:rowOff>
    </xdr:from>
    <xdr:to>
      <xdr:col>4</xdr:col>
      <xdr:colOff>278848</xdr:colOff>
      <xdr:row>3</xdr:row>
      <xdr:rowOff>122632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C501D9F1-084D-DD9D-96CA-56FFE25114FE}"/>
            </a:ext>
          </a:extLst>
        </xdr:cNvPr>
        <xdr:cNvSpPr/>
      </xdr:nvSpPr>
      <xdr:spPr>
        <a:xfrm>
          <a:off x="1334467" y="287387"/>
          <a:ext cx="1381234" cy="40094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Tài chính</a:t>
          </a:r>
          <a:endParaRPr lang="en-US" sz="1600" b="1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162868</xdr:colOff>
      <xdr:row>4</xdr:row>
      <xdr:rowOff>107193</xdr:rowOff>
    </xdr:from>
    <xdr:to>
      <xdr:col>4</xdr:col>
      <xdr:colOff>329556</xdr:colOff>
      <xdr:row>6</xdr:row>
      <xdr:rowOff>131004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681DE12-818E-4438-BB38-B31E42E593C1}"/>
            </a:ext>
          </a:extLst>
        </xdr:cNvPr>
        <xdr:cNvSpPr/>
      </xdr:nvSpPr>
      <xdr:spPr>
        <a:xfrm>
          <a:off x="1390535" y="869193"/>
          <a:ext cx="1394354" cy="40481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  <a:endParaRPr lang="en-US" sz="1600" b="1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276068</xdr:colOff>
      <xdr:row>1</xdr:row>
      <xdr:rowOff>23322</xdr:rowOff>
    </xdr:from>
    <xdr:to>
      <xdr:col>4</xdr:col>
      <xdr:colOff>232834</xdr:colOff>
      <xdr:row>3</xdr:row>
      <xdr:rowOff>133101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BB0FA4D8-F9D0-B6C5-A7F2-C70B0ED2452A}"/>
            </a:ext>
          </a:extLst>
        </xdr:cNvPr>
        <xdr:cNvSpPr/>
      </xdr:nvSpPr>
      <xdr:spPr>
        <a:xfrm>
          <a:off x="889901" y="213822"/>
          <a:ext cx="1798266" cy="490779"/>
        </a:xfrm>
        <a:prstGeom prst="round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592915</xdr:colOff>
      <xdr:row>8</xdr:row>
      <xdr:rowOff>23232</xdr:rowOff>
    </xdr:from>
    <xdr:to>
      <xdr:col>7</xdr:col>
      <xdr:colOff>209084</xdr:colOff>
      <xdr:row>9</xdr:row>
      <xdr:rowOff>127774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AB894268-300D-4649-9316-A54444F97EA3}"/>
            </a:ext>
          </a:extLst>
        </xdr:cNvPr>
        <xdr:cNvSpPr/>
      </xdr:nvSpPr>
      <xdr:spPr>
        <a:xfrm>
          <a:off x="1800964" y="1510061"/>
          <a:ext cx="2636291" cy="290396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606892</xdr:colOff>
      <xdr:row>8</xdr:row>
      <xdr:rowOff>38100</xdr:rowOff>
    </xdr:from>
    <xdr:to>
      <xdr:col>8</xdr:col>
      <xdr:colOff>147962</xdr:colOff>
      <xdr:row>10</xdr:row>
      <xdr:rowOff>63845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D3D5200-AA2D-4D83-BF9E-704B801F9C6B}"/>
            </a:ext>
          </a:extLst>
        </xdr:cNvPr>
        <xdr:cNvSpPr/>
      </xdr:nvSpPr>
      <xdr:spPr>
        <a:xfrm>
          <a:off x="1839539" y="1606924"/>
          <a:ext cx="3239011" cy="4179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 hợp dòng tiền theo nhóm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445470</xdr:colOff>
      <xdr:row>8</xdr:row>
      <xdr:rowOff>38100</xdr:rowOff>
    </xdr:from>
    <xdr:to>
      <xdr:col>20</xdr:col>
      <xdr:colOff>533400</xdr:colOff>
      <xdr:row>10</xdr:row>
      <xdr:rowOff>79909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9467FB3-D08A-48A9-AD13-E803C39B2699}"/>
            </a:ext>
          </a:extLst>
        </xdr:cNvPr>
        <xdr:cNvSpPr/>
      </xdr:nvSpPr>
      <xdr:spPr>
        <a:xfrm>
          <a:off x="10922970" y="1606924"/>
          <a:ext cx="1936901" cy="43401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Top 5 - Dòng tiền ra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350220</xdr:colOff>
      <xdr:row>8</xdr:row>
      <xdr:rowOff>38100</xdr:rowOff>
    </xdr:from>
    <xdr:to>
      <xdr:col>25</xdr:col>
      <xdr:colOff>202992</xdr:colOff>
      <xdr:row>11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90CD9FF-9385-4CA9-AA26-93B6D07E2F72}"/>
            </a:ext>
          </a:extLst>
        </xdr:cNvPr>
        <xdr:cNvSpPr/>
      </xdr:nvSpPr>
      <xdr:spPr>
        <a:xfrm>
          <a:off x="13747679" y="1578756"/>
          <a:ext cx="1679698" cy="53964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Bộ lọc</a:t>
          </a:r>
          <a:r>
            <a:rPr lang="vi-VN" sz="1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</a:t>
          </a:r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theo tháng)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22</xdr:col>
      <xdr:colOff>105832</xdr:colOff>
      <xdr:row>8</xdr:row>
      <xdr:rowOff>20265</xdr:rowOff>
    </xdr:from>
    <xdr:to>
      <xdr:col>22</xdr:col>
      <xdr:colOff>387055</xdr:colOff>
      <xdr:row>10</xdr:row>
      <xdr:rowOff>105834</xdr:rowOff>
    </xdr:to>
    <xdr:pic>
      <xdr:nvPicPr>
        <xdr:cNvPr id="51" name="Graphic 50" descr="Filter outline">
          <a:extLst>
            <a:ext uri="{FF2B5EF4-FFF2-40B4-BE49-F238E27FC236}">
              <a16:creationId xmlns:a16="http://schemas.microsoft.com/office/drawing/2014/main" id="{2D8B74E9-7A26-DC0E-1858-FFBF35742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558425" y="1525450"/>
          <a:ext cx="281223" cy="461865"/>
        </a:xfrm>
        <a:prstGeom prst="rect">
          <a:avLst/>
        </a:prstGeom>
      </xdr:spPr>
    </xdr:pic>
    <xdr:clientData/>
  </xdr:twoCellAnchor>
  <xdr:twoCellAnchor>
    <xdr:from>
      <xdr:col>5</xdr:col>
      <xdr:colOff>17366</xdr:colOff>
      <xdr:row>20</xdr:row>
      <xdr:rowOff>19424</xdr:rowOff>
    </xdr:from>
    <xdr:to>
      <xdr:col>7</xdr:col>
      <xdr:colOff>414132</xdr:colOff>
      <xdr:row>22</xdr:row>
      <xdr:rowOff>45169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6D0D8C2-25EB-464F-9847-7F60A7474AB0}"/>
            </a:ext>
          </a:extLst>
        </xdr:cNvPr>
        <xdr:cNvSpPr/>
      </xdr:nvSpPr>
      <xdr:spPr>
        <a:xfrm>
          <a:off x="3054323" y="3884641"/>
          <a:ext cx="1611548" cy="41226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Dòng tiền vào/ra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307644</xdr:colOff>
      <xdr:row>20</xdr:row>
      <xdr:rowOff>18289</xdr:rowOff>
    </xdr:from>
    <xdr:to>
      <xdr:col>13</xdr:col>
      <xdr:colOff>97018</xdr:colOff>
      <xdr:row>22</xdr:row>
      <xdr:rowOff>44034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C52D699-C559-4A5F-A05D-B0CBF0B74161}"/>
            </a:ext>
          </a:extLst>
        </xdr:cNvPr>
        <xdr:cNvSpPr/>
      </xdr:nvSpPr>
      <xdr:spPr>
        <a:xfrm>
          <a:off x="6381557" y="3883506"/>
          <a:ext cx="1611548" cy="41226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Nguồn tiền vào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543936</xdr:colOff>
      <xdr:row>19</xdr:row>
      <xdr:rowOff>183941</xdr:rowOff>
    </xdr:from>
    <xdr:to>
      <xdr:col>21</xdr:col>
      <xdr:colOff>151848</xdr:colOff>
      <xdr:row>22</xdr:row>
      <xdr:rowOff>16426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A0FCF27-1795-406C-9F3A-0C4692EA740F}"/>
            </a:ext>
          </a:extLst>
        </xdr:cNvPr>
        <xdr:cNvSpPr/>
      </xdr:nvSpPr>
      <xdr:spPr>
        <a:xfrm>
          <a:off x="10259436" y="3803441"/>
          <a:ext cx="2644006" cy="40398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 theo ngày trong tuần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488783</xdr:colOff>
      <xdr:row>33</xdr:row>
      <xdr:rowOff>116440</xdr:rowOff>
    </xdr:from>
    <xdr:to>
      <xdr:col>5</xdr:col>
      <xdr:colOff>0</xdr:colOff>
      <xdr:row>35</xdr:row>
      <xdr:rowOff>142186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61915FF-3125-4F9E-B0E7-5F4176DAB0C1}"/>
            </a:ext>
          </a:extLst>
        </xdr:cNvPr>
        <xdr:cNvSpPr/>
      </xdr:nvSpPr>
      <xdr:spPr>
        <a:xfrm>
          <a:off x="1719706" y="6402940"/>
          <a:ext cx="1357602" cy="40674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Sinh hoạt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26319</xdr:colOff>
      <xdr:row>33</xdr:row>
      <xdr:rowOff>116440</xdr:rowOff>
    </xdr:from>
    <xdr:to>
      <xdr:col>8</xdr:col>
      <xdr:colOff>151647</xdr:colOff>
      <xdr:row>35</xdr:row>
      <xdr:rowOff>142186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5742D32-50B8-4EBA-812A-3C61F0490583}"/>
            </a:ext>
          </a:extLst>
        </xdr:cNvPr>
        <xdr:cNvSpPr/>
      </xdr:nvSpPr>
      <xdr:spPr>
        <a:xfrm>
          <a:off x="3719088" y="6402940"/>
          <a:ext cx="1356251" cy="40674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Ăn Ngoài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130342</xdr:colOff>
      <xdr:row>33</xdr:row>
      <xdr:rowOff>116440</xdr:rowOff>
    </xdr:from>
    <xdr:to>
      <xdr:col>11</xdr:col>
      <xdr:colOff>255671</xdr:colOff>
      <xdr:row>35</xdr:row>
      <xdr:rowOff>142186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C8E36774-60C4-4D81-9D0F-F01543E21341}"/>
            </a:ext>
          </a:extLst>
        </xdr:cNvPr>
        <xdr:cNvSpPr/>
      </xdr:nvSpPr>
      <xdr:spPr>
        <a:xfrm>
          <a:off x="5669496" y="6402940"/>
          <a:ext cx="1356252" cy="40674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Từ Thiện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258178</xdr:colOff>
      <xdr:row>33</xdr:row>
      <xdr:rowOff>116440</xdr:rowOff>
    </xdr:from>
    <xdr:to>
      <xdr:col>14</xdr:col>
      <xdr:colOff>383506</xdr:colOff>
      <xdr:row>35</xdr:row>
      <xdr:rowOff>142186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967015C-D855-4131-8165-91FB8EF1265E}"/>
            </a:ext>
          </a:extLst>
        </xdr:cNvPr>
        <xdr:cNvSpPr/>
      </xdr:nvSpPr>
      <xdr:spPr>
        <a:xfrm>
          <a:off x="7643716" y="6402940"/>
          <a:ext cx="1356252" cy="40674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Sức Khỏe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513850</xdr:colOff>
      <xdr:row>33</xdr:row>
      <xdr:rowOff>116440</xdr:rowOff>
    </xdr:from>
    <xdr:to>
      <xdr:col>21</xdr:col>
      <xdr:colOff>50132</xdr:colOff>
      <xdr:row>35</xdr:row>
      <xdr:rowOff>142186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BB1C110-ADF5-4CBA-8796-F3D7D3AAA211}"/>
            </a:ext>
          </a:extLst>
        </xdr:cNvPr>
        <xdr:cNvSpPr/>
      </xdr:nvSpPr>
      <xdr:spPr>
        <a:xfrm>
          <a:off x="11592158" y="6402940"/>
          <a:ext cx="1382666" cy="40674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Di chuyển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386013</xdr:colOff>
      <xdr:row>33</xdr:row>
      <xdr:rowOff>116440</xdr:rowOff>
    </xdr:from>
    <xdr:to>
      <xdr:col>17</xdr:col>
      <xdr:colOff>511342</xdr:colOff>
      <xdr:row>35</xdr:row>
      <xdr:rowOff>142186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F62AA27-B61A-4790-ADF2-CF33C3CD79D5}"/>
            </a:ext>
          </a:extLst>
        </xdr:cNvPr>
        <xdr:cNvSpPr/>
      </xdr:nvSpPr>
      <xdr:spPr>
        <a:xfrm>
          <a:off x="9617936" y="6402940"/>
          <a:ext cx="1356252" cy="40674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 khác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256843</xdr:colOff>
      <xdr:row>31</xdr:row>
      <xdr:rowOff>8819</xdr:rowOff>
    </xdr:from>
    <xdr:to>
      <xdr:col>4</xdr:col>
      <xdr:colOff>246706</xdr:colOff>
      <xdr:row>34</xdr:row>
      <xdr:rowOff>12922</xdr:rowOff>
    </xdr:to>
    <xdr:pic>
      <xdr:nvPicPr>
        <xdr:cNvPr id="62" name="Graphic 61" descr="Suburban scene">
          <a:extLst>
            <a:ext uri="{FF2B5EF4-FFF2-40B4-BE49-F238E27FC236}">
              <a16:creationId xmlns:a16="http://schemas.microsoft.com/office/drawing/2014/main" id="{24A4A1DD-35B6-4474-845A-4845A669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082468" y="6023680"/>
          <a:ext cx="598405" cy="586186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18984</xdr:colOff>
      <xdr:row>30</xdr:row>
      <xdr:rowOff>151848</xdr:rowOff>
    </xdr:from>
    <xdr:to>
      <xdr:col>13</xdr:col>
      <xdr:colOff>582357</xdr:colOff>
      <xdr:row>33</xdr:row>
      <xdr:rowOff>167569</xdr:rowOff>
    </xdr:to>
    <xdr:pic>
      <xdr:nvPicPr>
        <xdr:cNvPr id="63" name="Graphic 62" descr="First aid kit">
          <a:extLst>
            <a:ext uri="{FF2B5EF4-FFF2-40B4-BE49-F238E27FC236}">
              <a16:creationId xmlns:a16="http://schemas.microsoft.com/office/drawing/2014/main" id="{89D49D22-7647-4F7D-9EB2-C96B4EC49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915071" y="5949674"/>
          <a:ext cx="563373" cy="595504"/>
        </a:xfrm>
        <a:prstGeom prst="rect">
          <a:avLst/>
        </a:prstGeom>
      </xdr:spPr>
    </xdr:pic>
    <xdr:clientData/>
  </xdr:twoCellAnchor>
  <xdr:twoCellAnchor editAs="oneCell">
    <xdr:from>
      <xdr:col>6</xdr:col>
      <xdr:colOff>346375</xdr:colOff>
      <xdr:row>30</xdr:row>
      <xdr:rowOff>101151</xdr:rowOff>
    </xdr:from>
    <xdr:to>
      <xdr:col>7</xdr:col>
      <xdr:colOff>455508</xdr:colOff>
      <xdr:row>34</xdr:row>
      <xdr:rowOff>60592</xdr:rowOff>
    </xdr:to>
    <xdr:pic>
      <xdr:nvPicPr>
        <xdr:cNvPr id="64" name="Graphic 63" descr="Table setting">
          <a:extLst>
            <a:ext uri="{FF2B5EF4-FFF2-40B4-BE49-F238E27FC236}">
              <a16:creationId xmlns:a16="http://schemas.microsoft.com/office/drawing/2014/main" id="{7442D83B-401D-4215-9095-4B670D4D4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87791" y="5917301"/>
          <a:ext cx="716036" cy="734928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30</xdr:row>
      <xdr:rowOff>85478</xdr:rowOff>
    </xdr:from>
    <xdr:to>
      <xdr:col>20</xdr:col>
      <xdr:colOff>443971</xdr:colOff>
      <xdr:row>33</xdr:row>
      <xdr:rowOff>182493</xdr:rowOff>
    </xdr:to>
    <xdr:pic>
      <xdr:nvPicPr>
        <xdr:cNvPr id="65" name="Graphic 64" descr="Car">
          <a:extLst>
            <a:ext uri="{FF2B5EF4-FFF2-40B4-BE49-F238E27FC236}">
              <a16:creationId xmlns:a16="http://schemas.microsoft.com/office/drawing/2014/main" id="{ED8EBA1F-CA4B-467E-858F-C93E5C607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1839087" y="5947016"/>
          <a:ext cx="816422" cy="683169"/>
        </a:xfrm>
        <a:prstGeom prst="rect">
          <a:avLst/>
        </a:prstGeom>
      </xdr:spPr>
    </xdr:pic>
    <xdr:clientData/>
  </xdr:twoCellAnchor>
  <xdr:twoCellAnchor editAs="oneCell">
    <xdr:from>
      <xdr:col>9</xdr:col>
      <xdr:colOff>558130</xdr:colOff>
      <xdr:row>30</xdr:row>
      <xdr:rowOff>177445</xdr:rowOff>
    </xdr:from>
    <xdr:to>
      <xdr:col>10</xdr:col>
      <xdr:colOff>425675</xdr:colOff>
      <xdr:row>33</xdr:row>
      <xdr:rowOff>70581</xdr:rowOff>
    </xdr:to>
    <xdr:pic>
      <xdr:nvPicPr>
        <xdr:cNvPr id="67" name="Graphic 66" descr="Cheers with solid fill">
          <a:extLst>
            <a:ext uri="{FF2B5EF4-FFF2-40B4-BE49-F238E27FC236}">
              <a16:creationId xmlns:a16="http://schemas.microsoft.com/office/drawing/2014/main" id="{3CEDF180-45BE-9276-7385-108CFB28A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020254" y="5993595"/>
          <a:ext cx="474448" cy="474751"/>
        </a:xfrm>
        <a:prstGeom prst="rect">
          <a:avLst/>
        </a:prstGeom>
      </xdr:spPr>
    </xdr:pic>
    <xdr:clientData/>
  </xdr:twoCellAnchor>
  <xdr:twoCellAnchor editAs="oneCell">
    <xdr:from>
      <xdr:col>16</xdr:col>
      <xdr:colOff>195324</xdr:colOff>
      <xdr:row>30</xdr:row>
      <xdr:rowOff>156687</xdr:rowOff>
    </xdr:from>
    <xdr:to>
      <xdr:col>17</xdr:col>
      <xdr:colOff>98089</xdr:colOff>
      <xdr:row>33</xdr:row>
      <xdr:rowOff>95586</xdr:rowOff>
    </xdr:to>
    <xdr:pic>
      <xdr:nvPicPr>
        <xdr:cNvPr id="69" name="Graphic 68" descr="Miscellaneous with solid fill">
          <a:extLst>
            <a:ext uri="{FF2B5EF4-FFF2-40B4-BE49-F238E27FC236}">
              <a16:creationId xmlns:a16="http://schemas.microsoft.com/office/drawing/2014/main" id="{99441E3F-A66B-EB7C-CA8A-7616FC0D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9924431" y="5897200"/>
          <a:ext cx="510834" cy="512951"/>
        </a:xfrm>
        <a:prstGeom prst="rect">
          <a:avLst/>
        </a:prstGeom>
      </xdr:spPr>
    </xdr:pic>
    <xdr:clientData/>
  </xdr:twoCellAnchor>
  <xdr:twoCellAnchor editAs="oneCell">
    <xdr:from>
      <xdr:col>25</xdr:col>
      <xdr:colOff>475179</xdr:colOff>
      <xdr:row>2</xdr:row>
      <xdr:rowOff>109904</xdr:rowOff>
    </xdr:from>
    <xdr:to>
      <xdr:col>26</xdr:col>
      <xdr:colOff>449306</xdr:colOff>
      <xdr:row>5</xdr:row>
      <xdr:rowOff>139877</xdr:rowOff>
    </xdr:to>
    <xdr:pic>
      <xdr:nvPicPr>
        <xdr:cNvPr id="71" name="Graphic 70" descr="Garbage with solid fill">
          <a:extLst>
            <a:ext uri="{FF2B5EF4-FFF2-40B4-BE49-F238E27FC236}">
              <a16:creationId xmlns:a16="http://schemas.microsoft.com/office/drawing/2014/main" id="{B33E766C-4FF8-FEC8-A592-6E4D44FBA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5795109" y="496233"/>
          <a:ext cx="586924" cy="609466"/>
        </a:xfrm>
        <a:prstGeom prst="rect">
          <a:avLst/>
        </a:prstGeom>
      </xdr:spPr>
    </xdr:pic>
    <xdr:clientData/>
  </xdr:twoCellAnchor>
  <xdr:twoCellAnchor>
    <xdr:from>
      <xdr:col>23</xdr:col>
      <xdr:colOff>194313</xdr:colOff>
      <xdr:row>2</xdr:row>
      <xdr:rowOff>101368</xdr:rowOff>
    </xdr:from>
    <xdr:to>
      <xdr:col>24</xdr:col>
      <xdr:colOff>397376</xdr:colOff>
      <xdr:row>3</xdr:row>
      <xdr:rowOff>119737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218DBF1-200F-909B-43FB-B11D72B27F3C}"/>
            </a:ext>
          </a:extLst>
        </xdr:cNvPr>
        <xdr:cNvSpPr/>
      </xdr:nvSpPr>
      <xdr:spPr>
        <a:xfrm>
          <a:off x="14288649" y="487697"/>
          <a:ext cx="815860" cy="211533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200" b="1">
              <a:latin typeface="Times New Roman" panose="02020603050405020304" pitchFamily="18" charset="0"/>
              <a:cs typeface="Times New Roman" panose="02020603050405020304" pitchFamily="18" charset="0"/>
            </a:rPr>
            <a:t>Bắt Đầu</a:t>
          </a:r>
          <a:endParaRPr lang="en-US" sz="1200" b="1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17814</xdr:colOff>
      <xdr:row>4</xdr:row>
      <xdr:rowOff>31892</xdr:rowOff>
    </xdr:from>
    <xdr:to>
      <xdr:col>24</xdr:col>
      <xdr:colOff>257735</xdr:colOff>
      <xdr:row>5</xdr:row>
      <xdr:rowOff>76715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8ADFFA93-55CE-41AD-8016-A205FFEA4521}"/>
            </a:ext>
          </a:extLst>
        </xdr:cNvPr>
        <xdr:cNvSpPr/>
      </xdr:nvSpPr>
      <xdr:spPr>
        <a:xfrm>
          <a:off x="14004910" y="793892"/>
          <a:ext cx="848056" cy="235323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200" b="1">
              <a:latin typeface="Times New Roman" panose="02020603050405020304" pitchFamily="18" charset="0"/>
              <a:cs typeface="Times New Roman" panose="02020603050405020304" pitchFamily="18" charset="0"/>
            </a:rPr>
            <a:t>Kết Thúc</a:t>
          </a:r>
          <a:endParaRPr lang="en-US" sz="1200" b="1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24</xdr:col>
      <xdr:colOff>259514</xdr:colOff>
      <xdr:row>4</xdr:row>
      <xdr:rowOff>14498</xdr:rowOff>
    </xdr:from>
    <xdr:to>
      <xdr:col>24</xdr:col>
      <xdr:colOff>541564</xdr:colOff>
      <xdr:row>5</xdr:row>
      <xdr:rowOff>100051</xdr:rowOff>
    </xdr:to>
    <xdr:pic>
      <xdr:nvPicPr>
        <xdr:cNvPr id="75" name="Graphic 74" descr="Clock with solid fill">
          <a:extLst>
            <a:ext uri="{FF2B5EF4-FFF2-40B4-BE49-F238E27FC236}">
              <a16:creationId xmlns:a16="http://schemas.microsoft.com/office/drawing/2014/main" id="{324493C0-96BF-CAB2-1C03-B54705D12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4878448" y="778887"/>
          <a:ext cx="282050" cy="276650"/>
        </a:xfrm>
        <a:prstGeom prst="rect">
          <a:avLst/>
        </a:prstGeom>
      </xdr:spPr>
    </xdr:pic>
    <xdr:clientData/>
  </xdr:twoCellAnchor>
  <xdr:twoCellAnchor editAs="oneCell">
    <xdr:from>
      <xdr:col>24</xdr:col>
      <xdr:colOff>400836</xdr:colOff>
      <xdr:row>2</xdr:row>
      <xdr:rowOff>66218</xdr:rowOff>
    </xdr:from>
    <xdr:to>
      <xdr:col>25</xdr:col>
      <xdr:colOff>62719</xdr:colOff>
      <xdr:row>3</xdr:row>
      <xdr:rowOff>151923</xdr:rowOff>
    </xdr:to>
    <xdr:pic>
      <xdr:nvPicPr>
        <xdr:cNvPr id="77" name="Graphic 76" descr="Clock outline">
          <a:extLst>
            <a:ext uri="{FF2B5EF4-FFF2-40B4-BE49-F238E27FC236}">
              <a16:creationId xmlns:a16="http://schemas.microsoft.com/office/drawing/2014/main" id="{857B54D8-C2FF-CD07-B836-FC9FC236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5019770" y="448412"/>
          <a:ext cx="271005" cy="276803"/>
        </a:xfrm>
        <a:prstGeom prst="rect">
          <a:avLst/>
        </a:prstGeom>
      </xdr:spPr>
    </xdr:pic>
    <xdr:clientData/>
  </xdr:twoCellAnchor>
  <xdr:twoCellAnchor>
    <xdr:from>
      <xdr:col>1</xdr:col>
      <xdr:colOff>492673</xdr:colOff>
      <xdr:row>31</xdr:row>
      <xdr:rowOff>73645</xdr:rowOff>
    </xdr:from>
    <xdr:to>
      <xdr:col>2</xdr:col>
      <xdr:colOff>270039</xdr:colOff>
      <xdr:row>39</xdr:row>
      <xdr:rowOff>58916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9EDF3BF-9B22-4442-8F73-5F5E0A3EF9DF}"/>
            </a:ext>
          </a:extLst>
        </xdr:cNvPr>
        <xdr:cNvSpPr/>
      </xdr:nvSpPr>
      <xdr:spPr>
        <a:xfrm rot="16200000">
          <a:off x="511888" y="6771197"/>
          <a:ext cx="1561823" cy="384996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vi-VN" sz="1800" b="1">
              <a:latin typeface="Times New Roman" panose="02020603050405020304" pitchFamily="18" charset="0"/>
              <a:cs typeface="Times New Roman" panose="02020603050405020304" pitchFamily="18" charset="0"/>
            </a:rPr>
            <a:t>Chi phí</a:t>
          </a:r>
          <a:endParaRPr lang="en-US" sz="1800" b="1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484605</xdr:colOff>
      <xdr:row>8</xdr:row>
      <xdr:rowOff>1</xdr:rowOff>
    </xdr:from>
    <xdr:to>
      <xdr:col>17</xdr:col>
      <xdr:colOff>133684</xdr:colOff>
      <xdr:row>18</xdr:row>
      <xdr:rowOff>147294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9" name="Chart 78">
              <a:extLst>
                <a:ext uri="{FF2B5EF4-FFF2-40B4-BE49-F238E27FC236}">
                  <a16:creationId xmlns:a16="http://schemas.microsoft.com/office/drawing/2014/main" id="{1CE3D4E2-0D36-49BD-86A8-2E5FDD632C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3805" y="1524001"/>
              <a:ext cx="8793079" cy="20522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391205</xdr:colOff>
      <xdr:row>9</xdr:row>
      <xdr:rowOff>76524</xdr:rowOff>
    </xdr:from>
    <xdr:to>
      <xdr:col>21</xdr:col>
      <xdr:colOff>85044</xdr:colOff>
      <xdr:row>19</xdr:row>
      <xdr:rowOff>24020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81FF913A-170A-4B5B-B6F1-9CE78E138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284765</xdr:colOff>
      <xdr:row>4</xdr:row>
      <xdr:rowOff>19079</xdr:rowOff>
    </xdr:from>
    <xdr:to>
      <xdr:col>4</xdr:col>
      <xdr:colOff>241531</xdr:colOff>
      <xdr:row>6</xdr:row>
      <xdr:rowOff>157126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8E65BFF4-AF0B-4DFF-8841-41D1F969572A}"/>
            </a:ext>
          </a:extLst>
        </xdr:cNvPr>
        <xdr:cNvSpPr/>
      </xdr:nvSpPr>
      <xdr:spPr>
        <a:xfrm>
          <a:off x="900227" y="781079"/>
          <a:ext cx="1803150" cy="519047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448406</xdr:colOff>
      <xdr:row>8</xdr:row>
      <xdr:rowOff>58080</xdr:rowOff>
    </xdr:from>
    <xdr:to>
      <xdr:col>20</xdr:col>
      <xdr:colOff>405173</xdr:colOff>
      <xdr:row>9</xdr:row>
      <xdr:rowOff>135526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50E52C15-5063-48CE-9D72-BDEA3BEF5B40}"/>
            </a:ext>
          </a:extLst>
        </xdr:cNvPr>
        <xdr:cNvSpPr/>
      </xdr:nvSpPr>
      <xdr:spPr>
        <a:xfrm>
          <a:off x="10716821" y="1544909"/>
          <a:ext cx="1768840" cy="2633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42648</xdr:colOff>
      <xdr:row>20</xdr:row>
      <xdr:rowOff>42649</xdr:rowOff>
    </xdr:from>
    <xdr:to>
      <xdr:col>7</xdr:col>
      <xdr:colOff>241679</xdr:colOff>
      <xdr:row>21</xdr:row>
      <xdr:rowOff>127948</xdr:rowOff>
    </xdr:to>
    <xdr:sp macro="" textlink="">
      <xdr:nvSpPr>
        <xdr:cNvPr id="87" name="Rectangle: Rounded Corners 86">
          <a:extLst>
            <a:ext uri="{FF2B5EF4-FFF2-40B4-BE49-F238E27FC236}">
              <a16:creationId xmlns:a16="http://schemas.microsoft.com/office/drawing/2014/main" id="{EB49FFA8-4107-4852-ADB3-8D017CEE33EE}"/>
            </a:ext>
          </a:extLst>
        </xdr:cNvPr>
        <xdr:cNvSpPr/>
      </xdr:nvSpPr>
      <xdr:spPr>
        <a:xfrm>
          <a:off x="3097837" y="3816706"/>
          <a:ext cx="1421106" cy="274001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294563</xdr:colOff>
      <xdr:row>20</xdr:row>
      <xdr:rowOff>38668</xdr:rowOff>
    </xdr:from>
    <xdr:to>
      <xdr:col>12</xdr:col>
      <xdr:colOff>493594</xdr:colOff>
      <xdr:row>21</xdr:row>
      <xdr:rowOff>123967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A1F2D7A4-5DAF-4B0D-9ADB-8C19DDE29B2B}"/>
            </a:ext>
          </a:extLst>
        </xdr:cNvPr>
        <xdr:cNvSpPr/>
      </xdr:nvSpPr>
      <xdr:spPr>
        <a:xfrm>
          <a:off x="6407623" y="3734937"/>
          <a:ext cx="1421643" cy="270112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560694</xdr:colOff>
      <xdr:row>20</xdr:row>
      <xdr:rowOff>20470</xdr:rowOff>
    </xdr:from>
    <xdr:to>
      <xdr:col>20</xdr:col>
      <xdr:colOff>511791</xdr:colOff>
      <xdr:row>21</xdr:row>
      <xdr:rowOff>99515</xdr:rowOff>
    </xdr:to>
    <xdr:sp macro="" textlink="">
      <xdr:nvSpPr>
        <xdr:cNvPr id="89" name="Rectangle: Rounded Corners 88">
          <a:extLst>
            <a:ext uri="{FF2B5EF4-FFF2-40B4-BE49-F238E27FC236}">
              <a16:creationId xmlns:a16="http://schemas.microsoft.com/office/drawing/2014/main" id="{1F46B5C5-973D-438E-9437-35CCA3812A26}"/>
            </a:ext>
          </a:extLst>
        </xdr:cNvPr>
        <xdr:cNvSpPr/>
      </xdr:nvSpPr>
      <xdr:spPr>
        <a:xfrm>
          <a:off x="10341590" y="3716739"/>
          <a:ext cx="2396320" cy="263858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455545</xdr:colOff>
      <xdr:row>18</xdr:row>
      <xdr:rowOff>176005</xdr:rowOff>
    </xdr:from>
    <xdr:to>
      <xdr:col>6</xdr:col>
      <xdr:colOff>98197</xdr:colOff>
      <xdr:row>31</xdr:row>
      <xdr:rowOff>49098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4D26B01E-B7D5-42E9-A582-A73B802AD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51152</xdr:colOff>
      <xdr:row>23</xdr:row>
      <xdr:rowOff>99802</xdr:rowOff>
    </xdr:from>
    <xdr:to>
      <xdr:col>5</xdr:col>
      <xdr:colOff>239855</xdr:colOff>
      <xdr:row>24</xdr:row>
      <xdr:rowOff>99802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00440AF3-0893-A9E7-E941-9BC4BFB41D8C}"/>
            </a:ext>
          </a:extLst>
        </xdr:cNvPr>
        <xdr:cNvSpPr/>
      </xdr:nvSpPr>
      <xdr:spPr>
        <a:xfrm>
          <a:off x="3112759" y="4403061"/>
          <a:ext cx="188703" cy="187098"/>
        </a:xfrm>
        <a:prstGeom prst="ellipse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51152</xdr:colOff>
      <xdr:row>25</xdr:row>
      <xdr:rowOff>90456</xdr:rowOff>
    </xdr:from>
    <xdr:to>
      <xdr:col>5</xdr:col>
      <xdr:colOff>239855</xdr:colOff>
      <xdr:row>26</xdr:row>
      <xdr:rowOff>90455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9101230E-90A4-4494-8410-FD32CA56495F}"/>
            </a:ext>
          </a:extLst>
        </xdr:cNvPr>
        <xdr:cNvSpPr/>
      </xdr:nvSpPr>
      <xdr:spPr>
        <a:xfrm>
          <a:off x="3112759" y="4767911"/>
          <a:ext cx="188703" cy="187098"/>
        </a:xfrm>
        <a:prstGeom prst="ellips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51152</xdr:colOff>
      <xdr:row>27</xdr:row>
      <xdr:rowOff>81111</xdr:rowOff>
    </xdr:from>
    <xdr:to>
      <xdr:col>5</xdr:col>
      <xdr:colOff>239855</xdr:colOff>
      <xdr:row>28</xdr:row>
      <xdr:rowOff>81112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2A3C3507-F531-401C-BA5F-78F7D887DC7A}"/>
            </a:ext>
          </a:extLst>
        </xdr:cNvPr>
        <xdr:cNvSpPr/>
      </xdr:nvSpPr>
      <xdr:spPr>
        <a:xfrm>
          <a:off x="3112759" y="5132763"/>
          <a:ext cx="188703" cy="187099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240910</xdr:colOff>
      <xdr:row>23</xdr:row>
      <xdr:rowOff>57627</xdr:rowOff>
    </xdr:from>
    <xdr:to>
      <xdr:col>8</xdr:col>
      <xdr:colOff>26638</xdr:colOff>
      <xdr:row>25</xdr:row>
      <xdr:rowOff>83371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1430CC59-0788-4D77-AE61-C155D7260B21}"/>
            </a:ext>
          </a:extLst>
        </xdr:cNvPr>
        <xdr:cNvSpPr/>
      </xdr:nvSpPr>
      <xdr:spPr>
        <a:xfrm>
          <a:off x="3302517" y="4360886"/>
          <a:ext cx="1622692" cy="39994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Amount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240910</xdr:colOff>
      <xdr:row>25</xdr:row>
      <xdr:rowOff>57267</xdr:rowOff>
    </xdr:from>
    <xdr:to>
      <xdr:col>8</xdr:col>
      <xdr:colOff>26638</xdr:colOff>
      <xdr:row>27</xdr:row>
      <xdr:rowOff>83011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CF6C85B2-AE35-4506-8720-736E50034858}"/>
            </a:ext>
          </a:extLst>
        </xdr:cNvPr>
        <xdr:cNvSpPr/>
      </xdr:nvSpPr>
      <xdr:spPr>
        <a:xfrm>
          <a:off x="3302517" y="4734722"/>
          <a:ext cx="1622692" cy="39994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Credit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240910</xdr:colOff>
      <xdr:row>27</xdr:row>
      <xdr:rowOff>47921</xdr:rowOff>
    </xdr:from>
    <xdr:to>
      <xdr:col>8</xdr:col>
      <xdr:colOff>26638</xdr:colOff>
      <xdr:row>29</xdr:row>
      <xdr:rowOff>73666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2FDF32A9-8CC6-4E95-A552-2D6D2BAF69B5}"/>
            </a:ext>
          </a:extLst>
        </xdr:cNvPr>
        <xdr:cNvSpPr/>
      </xdr:nvSpPr>
      <xdr:spPr>
        <a:xfrm>
          <a:off x="3302517" y="5099573"/>
          <a:ext cx="1622692" cy="39994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Debit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432567</xdr:colOff>
      <xdr:row>21</xdr:row>
      <xdr:rowOff>80414</xdr:rowOff>
    </xdr:from>
    <xdr:to>
      <xdr:col>12</xdr:col>
      <xdr:colOff>148933</xdr:colOff>
      <xdr:row>29</xdr:row>
      <xdr:rowOff>58217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084282-1307-44DA-B5C6-B85621D7F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8</xdr:col>
      <xdr:colOff>417128</xdr:colOff>
      <xdr:row>28</xdr:row>
      <xdr:rowOff>142342</xdr:rowOff>
    </xdr:from>
    <xdr:to>
      <xdr:col>10</xdr:col>
      <xdr:colOff>80712</xdr:colOff>
      <xdr:row>30</xdr:row>
      <xdr:rowOff>168087</xdr:rowOff>
    </xdr:to>
    <xdr:sp macro="" textlink="Analyst!D$38">
      <xdr:nvSpPr>
        <xdr:cNvPr id="10" name="Rectangle 9">
          <a:extLst>
            <a:ext uri="{FF2B5EF4-FFF2-40B4-BE49-F238E27FC236}">
              <a16:creationId xmlns:a16="http://schemas.microsoft.com/office/drawing/2014/main" id="{2E1266C9-30EC-4103-8E20-D37491B2F06B}"/>
            </a:ext>
          </a:extLst>
        </xdr:cNvPr>
        <xdr:cNvSpPr/>
      </xdr:nvSpPr>
      <xdr:spPr>
        <a:xfrm>
          <a:off x="5286714" y="5507904"/>
          <a:ext cx="880980" cy="409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9E0242DA-D7B9-4196-9449-D2880E987980}" type="TxLink">
            <a:rPr lang="en-US" sz="11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£10,940 </a:t>
          </a:fld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42346</xdr:colOff>
      <xdr:row>28</xdr:row>
      <xdr:rowOff>122295</xdr:rowOff>
    </xdr:from>
    <xdr:to>
      <xdr:col>11</xdr:col>
      <xdr:colOff>87253</xdr:colOff>
      <xdr:row>30</xdr:row>
      <xdr:rowOff>148040</xdr:rowOff>
    </xdr:to>
    <xdr:sp macro="" textlink="Analyst!D$36">
      <xdr:nvSpPr>
        <xdr:cNvPr id="14" name="Rectangle 13">
          <a:extLst>
            <a:ext uri="{FF2B5EF4-FFF2-40B4-BE49-F238E27FC236}">
              <a16:creationId xmlns:a16="http://schemas.microsoft.com/office/drawing/2014/main" id="{0FED21EC-E2D7-454E-9CC4-5B04DF8F14B2}"/>
            </a:ext>
          </a:extLst>
        </xdr:cNvPr>
        <xdr:cNvSpPr/>
      </xdr:nvSpPr>
      <xdr:spPr>
        <a:xfrm>
          <a:off x="6149980" y="5415577"/>
          <a:ext cx="655670" cy="40383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A9C7FFCE-AA2C-4A7B-9F1C-9C0393ACB6B3}" type="TxLink">
            <a:rPr lang="en-US" sz="1100" b="0" i="0" u="none" strike="noStrike">
              <a:solidFill>
                <a:srgbClr val="000000"/>
              </a:solidFill>
              <a:latin typeface="Times New Roman"/>
              <a:cs typeface="Times New Roman"/>
            </a:rPr>
            <a:t> £50,000 </a:t>
          </a:fld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217290</xdr:colOff>
      <xdr:row>28</xdr:row>
      <xdr:rowOff>142342</xdr:rowOff>
    </xdr:from>
    <xdr:to>
      <xdr:col>12</xdr:col>
      <xdr:colOff>560599</xdr:colOff>
      <xdr:row>30</xdr:row>
      <xdr:rowOff>168087</xdr:rowOff>
    </xdr:to>
    <xdr:sp macro="" textlink="Analyst!D$37">
      <xdr:nvSpPr>
        <xdr:cNvPr id="15" name="Rectangle 14">
          <a:extLst>
            <a:ext uri="{FF2B5EF4-FFF2-40B4-BE49-F238E27FC236}">
              <a16:creationId xmlns:a16="http://schemas.microsoft.com/office/drawing/2014/main" id="{54B93ACE-C3C2-4C59-80EC-22B032729503}"/>
            </a:ext>
          </a:extLst>
        </xdr:cNvPr>
        <xdr:cNvSpPr/>
      </xdr:nvSpPr>
      <xdr:spPr>
        <a:xfrm>
          <a:off x="6912970" y="5507904"/>
          <a:ext cx="952008" cy="409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6D0DC0B-1B1E-49B9-B3CD-A2734DCAAA66}" type="TxLink">
            <a:rPr lang="en-US" sz="11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£4,500 </a:t>
          </a:fld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455043</xdr:colOff>
      <xdr:row>30</xdr:row>
      <xdr:rowOff>0</xdr:rowOff>
    </xdr:from>
    <xdr:to>
      <xdr:col>9</xdr:col>
      <xdr:colOff>443704</xdr:colOff>
      <xdr:row>30</xdr:row>
      <xdr:rowOff>90714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48A1501-B339-A383-8E5B-99FED8CC66AA}"/>
            </a:ext>
          </a:extLst>
        </xdr:cNvPr>
        <xdr:cNvSpPr/>
      </xdr:nvSpPr>
      <xdr:spPr>
        <a:xfrm>
          <a:off x="5341150" y="5671374"/>
          <a:ext cx="599424" cy="90714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10</xdr:col>
      <xdr:colOff>68090</xdr:colOff>
      <xdr:row>30</xdr:row>
      <xdr:rowOff>4991</xdr:rowOff>
    </xdr:from>
    <xdr:to>
      <xdr:col>11</xdr:col>
      <xdr:colOff>56751</xdr:colOff>
      <xdr:row>30</xdr:row>
      <xdr:rowOff>95705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D83DF99-A577-49D0-9910-7220C0D02C82}"/>
            </a:ext>
          </a:extLst>
        </xdr:cNvPr>
        <xdr:cNvSpPr/>
      </xdr:nvSpPr>
      <xdr:spPr>
        <a:xfrm>
          <a:off x="6175724" y="5676365"/>
          <a:ext cx="599424" cy="90714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293458</xdr:colOff>
      <xdr:row>29</xdr:row>
      <xdr:rowOff>191411</xdr:rowOff>
    </xdr:from>
    <xdr:to>
      <xdr:col>12</xdr:col>
      <xdr:colOff>282120</xdr:colOff>
      <xdr:row>30</xdr:row>
      <xdr:rowOff>89357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0F70698-7BF0-4734-8E2D-7502307264A7}"/>
            </a:ext>
          </a:extLst>
        </xdr:cNvPr>
        <xdr:cNvSpPr/>
      </xdr:nvSpPr>
      <xdr:spPr>
        <a:xfrm>
          <a:off x="7028994" y="5781679"/>
          <a:ext cx="600983" cy="90714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325931</xdr:colOff>
      <xdr:row>27</xdr:row>
      <xdr:rowOff>101609</xdr:rowOff>
    </xdr:from>
    <xdr:to>
      <xdr:col>9</xdr:col>
      <xdr:colOff>581680</xdr:colOff>
      <xdr:row>29</xdr:row>
      <xdr:rowOff>127354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EBAE93-778D-40DF-877E-A8FD52352C91}"/>
            </a:ext>
          </a:extLst>
        </xdr:cNvPr>
        <xdr:cNvSpPr/>
      </xdr:nvSpPr>
      <xdr:spPr>
        <a:xfrm>
          <a:off x="5212038" y="5205846"/>
          <a:ext cx="866512" cy="40383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YouTube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79888</xdr:colOff>
      <xdr:row>27</xdr:row>
      <xdr:rowOff>120152</xdr:rowOff>
    </xdr:from>
    <xdr:to>
      <xdr:col>11</xdr:col>
      <xdr:colOff>241113</xdr:colOff>
      <xdr:row>29</xdr:row>
      <xdr:rowOff>145897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4AF8D2B-1768-4CA5-97BB-6CB07C19D41F}"/>
            </a:ext>
          </a:extLst>
        </xdr:cNvPr>
        <xdr:cNvSpPr/>
      </xdr:nvSpPr>
      <xdr:spPr>
        <a:xfrm>
          <a:off x="6166870" y="5294087"/>
          <a:ext cx="769923" cy="40899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DWD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187201</xdr:colOff>
      <xdr:row>27</xdr:row>
      <xdr:rowOff>108880</xdr:rowOff>
    </xdr:from>
    <xdr:to>
      <xdr:col>12</xdr:col>
      <xdr:colOff>538054</xdr:colOff>
      <xdr:row>29</xdr:row>
      <xdr:rowOff>134625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0BCA114-C6D8-40BF-ADA9-FFCC7108236C}"/>
            </a:ext>
          </a:extLst>
        </xdr:cNvPr>
        <xdr:cNvSpPr/>
      </xdr:nvSpPr>
      <xdr:spPr>
        <a:xfrm>
          <a:off x="6905598" y="5213117"/>
          <a:ext cx="961616" cy="40383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Teachable</a:t>
          </a:r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37107</xdr:colOff>
      <xdr:row>28</xdr:row>
      <xdr:rowOff>142342</xdr:rowOff>
    </xdr:from>
    <xdr:to>
      <xdr:col>11</xdr:col>
      <xdr:colOff>380417</xdr:colOff>
      <xdr:row>30</xdr:row>
      <xdr:rowOff>168087</xdr:rowOff>
    </xdr:to>
    <xdr:sp macro="" textlink="Analyst!D$36">
      <xdr:nvSpPr>
        <xdr:cNvPr id="32" name="Rectangle 31">
          <a:extLst>
            <a:ext uri="{FF2B5EF4-FFF2-40B4-BE49-F238E27FC236}">
              <a16:creationId xmlns:a16="http://schemas.microsoft.com/office/drawing/2014/main" id="{7E678563-1052-44F2-A8CA-3D668EE6579E}"/>
            </a:ext>
          </a:extLst>
        </xdr:cNvPr>
        <xdr:cNvSpPr/>
      </xdr:nvSpPr>
      <xdr:spPr>
        <a:xfrm>
          <a:off x="6124089" y="5507904"/>
          <a:ext cx="952008" cy="409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30E4D3CD-2AEA-4F2C-B192-DD6A99D225CE}" type="TxLink">
            <a:rPr lang="en-US" sz="11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£50,000 </a:t>
          </a:fld>
          <a:endParaRPr lang="en-US" sz="1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575112</xdr:colOff>
      <xdr:row>23</xdr:row>
      <xdr:rowOff>163724</xdr:rowOff>
    </xdr:from>
    <xdr:to>
      <xdr:col>11</xdr:col>
      <xdr:colOff>238696</xdr:colOff>
      <xdr:row>26</xdr:row>
      <xdr:rowOff>423</xdr:rowOff>
    </xdr:to>
    <xdr:sp macro="" textlink="Analyst!D$39">
      <xdr:nvSpPr>
        <xdr:cNvPr id="33" name="Rectangle 32">
          <a:extLst>
            <a:ext uri="{FF2B5EF4-FFF2-40B4-BE49-F238E27FC236}">
              <a16:creationId xmlns:a16="http://schemas.microsoft.com/office/drawing/2014/main" id="{64C81643-1340-4B7D-A1EA-8DF8E656EA30}"/>
            </a:ext>
          </a:extLst>
        </xdr:cNvPr>
        <xdr:cNvSpPr/>
      </xdr:nvSpPr>
      <xdr:spPr>
        <a:xfrm>
          <a:off x="6071982" y="4511777"/>
          <a:ext cx="885111" cy="40383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FFFCE69C-80FB-4E4A-A0B1-BA449CDD4C59}" type="TxLink">
            <a:rPr lang="en-US" sz="1100" b="1" i="0" u="none" strike="noStrike">
              <a:solidFill>
                <a:srgbClr val="FFFF00"/>
              </a:solidFill>
              <a:latin typeface="Times New Roman"/>
              <a:cs typeface="Times New Roman"/>
            </a:rPr>
            <a:t> £65,440 </a:t>
          </a:fld>
          <a:endParaRPr lang="en-US" sz="1400" b="1">
            <a:solidFill>
              <a:srgbClr val="FFFF00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371195</xdr:colOff>
      <xdr:row>20</xdr:row>
      <xdr:rowOff>1</xdr:rowOff>
    </xdr:from>
    <xdr:to>
      <xdr:col>20</xdr:col>
      <xdr:colOff>347383</xdr:colOff>
      <xdr:row>30</xdr:row>
      <xdr:rowOff>64215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F05880F-7651-4630-905E-FF2106E22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</xdr:col>
      <xdr:colOff>560294</xdr:colOff>
      <xdr:row>35</xdr:row>
      <xdr:rowOff>34520</xdr:rowOff>
    </xdr:from>
    <xdr:to>
      <xdr:col>4</xdr:col>
      <xdr:colOff>507176</xdr:colOff>
      <xdr:row>37</xdr:row>
      <xdr:rowOff>123701</xdr:rowOff>
    </xdr:to>
    <xdr:sp macro="" textlink="Analyst!$L$39">
      <xdr:nvSpPr>
        <xdr:cNvPr id="36" name="Rectangle 35">
          <a:extLst>
            <a:ext uri="{FF2B5EF4-FFF2-40B4-BE49-F238E27FC236}">
              <a16:creationId xmlns:a16="http://schemas.microsoft.com/office/drawing/2014/main" id="{9F54C96B-BF92-4661-B7E9-1688F883118A}"/>
            </a:ext>
          </a:extLst>
        </xdr:cNvPr>
        <xdr:cNvSpPr/>
      </xdr:nvSpPr>
      <xdr:spPr>
        <a:xfrm>
          <a:off x="1772567" y="6528838"/>
          <a:ext cx="1159154" cy="46028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739F2188-6C88-46D4-BD5C-B2016BE23A31}" type="TxLink">
            <a:rPr lang="en-US" sz="24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£16,400 </a:t>
          </a:fld>
          <a:endParaRPr lang="en-US" sz="2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82274</xdr:colOff>
      <xdr:row>35</xdr:row>
      <xdr:rowOff>34520</xdr:rowOff>
    </xdr:from>
    <xdr:to>
      <xdr:col>8</xdr:col>
      <xdr:colOff>36125</xdr:colOff>
      <xdr:row>37</xdr:row>
      <xdr:rowOff>123701</xdr:rowOff>
    </xdr:to>
    <xdr:sp macro="" textlink="Analyst!$L$37">
      <xdr:nvSpPr>
        <xdr:cNvPr id="50" name="Rectangle 49">
          <a:extLst>
            <a:ext uri="{FF2B5EF4-FFF2-40B4-BE49-F238E27FC236}">
              <a16:creationId xmlns:a16="http://schemas.microsoft.com/office/drawing/2014/main" id="{BB0C92CC-8EC5-4592-A9EB-60C6AA2DED5A}"/>
            </a:ext>
          </a:extLst>
        </xdr:cNvPr>
        <xdr:cNvSpPr/>
      </xdr:nvSpPr>
      <xdr:spPr>
        <a:xfrm>
          <a:off x="3719092" y="6528838"/>
          <a:ext cx="1166124" cy="46028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EEA744E0-97CC-4EEC-9483-100323ED335C}" type="TxLink">
            <a:rPr lang="en-US" sz="24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£2,474 </a:t>
          </a:fld>
          <a:endParaRPr lang="en-US" sz="2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217166</xdr:colOff>
      <xdr:row>35</xdr:row>
      <xdr:rowOff>34520</xdr:rowOff>
    </xdr:from>
    <xdr:to>
      <xdr:col>11</xdr:col>
      <xdr:colOff>164048</xdr:colOff>
      <xdr:row>37</xdr:row>
      <xdr:rowOff>123701</xdr:rowOff>
    </xdr:to>
    <xdr:sp macro="" textlink="Analyst!$L$36">
      <xdr:nvSpPr>
        <xdr:cNvPr id="57" name="Rectangle 56">
          <a:extLst>
            <a:ext uri="{FF2B5EF4-FFF2-40B4-BE49-F238E27FC236}">
              <a16:creationId xmlns:a16="http://schemas.microsoft.com/office/drawing/2014/main" id="{67055B54-F402-4AFC-9599-998E075B650A}"/>
            </a:ext>
          </a:extLst>
        </xdr:cNvPr>
        <xdr:cNvSpPr/>
      </xdr:nvSpPr>
      <xdr:spPr>
        <a:xfrm>
          <a:off x="5672393" y="6528838"/>
          <a:ext cx="1159155" cy="46028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A370310B-82E5-45BA-B3A5-BD38D3D8D8E3}" type="TxLink">
            <a:rPr lang="en-US" sz="24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£550 </a:t>
          </a:fld>
          <a:endParaRPr lang="en-US" sz="2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352058</xdr:colOff>
      <xdr:row>35</xdr:row>
      <xdr:rowOff>34520</xdr:rowOff>
    </xdr:from>
    <xdr:to>
      <xdr:col>14</xdr:col>
      <xdr:colOff>298940</xdr:colOff>
      <xdr:row>37</xdr:row>
      <xdr:rowOff>123701</xdr:rowOff>
    </xdr:to>
    <xdr:sp macro="" textlink="Analyst!$L$40">
      <xdr:nvSpPr>
        <xdr:cNvPr id="66" name="Rectangle 65">
          <a:extLst>
            <a:ext uri="{FF2B5EF4-FFF2-40B4-BE49-F238E27FC236}">
              <a16:creationId xmlns:a16="http://schemas.microsoft.com/office/drawing/2014/main" id="{BB94FC2F-D7EB-4567-9D55-B047F41E1EDD}"/>
            </a:ext>
          </a:extLst>
        </xdr:cNvPr>
        <xdr:cNvSpPr/>
      </xdr:nvSpPr>
      <xdr:spPr>
        <a:xfrm>
          <a:off x="7625694" y="6528838"/>
          <a:ext cx="1159155" cy="46028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941D7C04-C5A6-47C5-BE48-6B8AB6ED1E27}" type="TxLink">
            <a:rPr lang="en-US" sz="24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£225 </a:t>
          </a:fld>
          <a:endParaRPr lang="en-US" sz="2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486951</xdr:colOff>
      <xdr:row>35</xdr:row>
      <xdr:rowOff>34520</xdr:rowOff>
    </xdr:from>
    <xdr:to>
      <xdr:col>17</xdr:col>
      <xdr:colOff>433833</xdr:colOff>
      <xdr:row>37</xdr:row>
      <xdr:rowOff>123701</xdr:rowOff>
    </xdr:to>
    <xdr:sp macro="" textlink="Analyst!$L$38">
      <xdr:nvSpPr>
        <xdr:cNvPr id="68" name="Rectangle 67">
          <a:extLst>
            <a:ext uri="{FF2B5EF4-FFF2-40B4-BE49-F238E27FC236}">
              <a16:creationId xmlns:a16="http://schemas.microsoft.com/office/drawing/2014/main" id="{C31AC58E-C838-4408-AF69-BA10A4F7E4A4}"/>
            </a:ext>
          </a:extLst>
        </xdr:cNvPr>
        <xdr:cNvSpPr/>
      </xdr:nvSpPr>
      <xdr:spPr>
        <a:xfrm>
          <a:off x="9578996" y="6528838"/>
          <a:ext cx="1159155" cy="46028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E87B9EB8-8418-4E76-AE80-00E5BE883B77}" type="TxLink">
            <a:rPr lang="en-US" sz="24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£7,028 </a:t>
          </a:fld>
          <a:endParaRPr lang="en-US" sz="2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8933</xdr:colOff>
      <xdr:row>35</xdr:row>
      <xdr:rowOff>34520</xdr:rowOff>
    </xdr:from>
    <xdr:to>
      <xdr:col>20</xdr:col>
      <xdr:colOff>568920</xdr:colOff>
      <xdr:row>37</xdr:row>
      <xdr:rowOff>123701</xdr:rowOff>
    </xdr:to>
    <xdr:sp macro="" textlink="Analyst!$L$41">
      <xdr:nvSpPr>
        <xdr:cNvPr id="70" name="Rectangle 69">
          <a:extLst>
            <a:ext uri="{FF2B5EF4-FFF2-40B4-BE49-F238E27FC236}">
              <a16:creationId xmlns:a16="http://schemas.microsoft.com/office/drawing/2014/main" id="{84C4FDFD-39EE-4E37-A7AA-1DFC87377C49}"/>
            </a:ext>
          </a:extLst>
        </xdr:cNvPr>
        <xdr:cNvSpPr/>
      </xdr:nvSpPr>
      <xdr:spPr>
        <a:xfrm>
          <a:off x="11525524" y="6528838"/>
          <a:ext cx="1166123" cy="46028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E8F6CAD4-7273-46F0-9357-0A55C28C9FD3}" type="TxLink">
            <a:rPr lang="en-US" sz="24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£3,515 </a:t>
          </a:fld>
          <a:endParaRPr lang="en-US" sz="24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556420</xdr:colOff>
      <xdr:row>35</xdr:row>
      <xdr:rowOff>27794</xdr:rowOff>
    </xdr:from>
    <xdr:to>
      <xdr:col>4</xdr:col>
      <xdr:colOff>591844</xdr:colOff>
      <xdr:row>38</xdr:row>
      <xdr:rowOff>18495</xdr:rowOff>
    </xdr:to>
    <xdr:sp macro="" textlink="Analyst!$L$39">
      <xdr:nvSpPr>
        <xdr:cNvPr id="74" name="Rectangle 73">
          <a:extLst>
            <a:ext uri="{FF2B5EF4-FFF2-40B4-BE49-F238E27FC236}">
              <a16:creationId xmlns:a16="http://schemas.microsoft.com/office/drawing/2014/main" id="{99FAE56D-ECCD-472D-9A03-D6E3EC9DD02D}"/>
            </a:ext>
          </a:extLst>
        </xdr:cNvPr>
        <xdr:cNvSpPr/>
      </xdr:nvSpPr>
      <xdr:spPr>
        <a:xfrm>
          <a:off x="1777100" y="6824760"/>
          <a:ext cx="1256103" cy="573298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DF096BEA-36B1-4D8F-B6CB-8387F70D472D}" type="TxLink">
            <a:rPr lang="en-US" sz="2400" b="0" i="0" u="none" strike="noStrike">
              <a:solidFill>
                <a:schemeClr val="bg1"/>
              </a:solidFill>
              <a:latin typeface="Times New Roman"/>
              <a:cs typeface="Times New Roman"/>
            </a:rPr>
            <a:t> £16,400 </a:t>
          </a:fld>
          <a:endParaRPr lang="en-US" sz="4800" b="0">
            <a:solidFill>
              <a:schemeClr val="bg1"/>
            </a:solidFill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85448</xdr:colOff>
      <xdr:row>8</xdr:row>
      <xdr:rowOff>39597</xdr:rowOff>
    </xdr:from>
    <xdr:to>
      <xdr:col>25</xdr:col>
      <xdr:colOff>67664</xdr:colOff>
      <xdr:row>10</xdr:row>
      <xdr:rowOff>83279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8A17F012-7943-4BAA-BAAC-10E9573C08E0}"/>
            </a:ext>
          </a:extLst>
        </xdr:cNvPr>
        <xdr:cNvSpPr/>
      </xdr:nvSpPr>
      <xdr:spPr>
        <a:xfrm>
          <a:off x="13482907" y="1580253"/>
          <a:ext cx="1809142" cy="428846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he Serif Hand Light" panose="03070302030502020204" pitchFamily="66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297379</xdr:colOff>
      <xdr:row>3</xdr:row>
      <xdr:rowOff>0</xdr:rowOff>
    </xdr:from>
    <xdr:to>
      <xdr:col>8</xdr:col>
      <xdr:colOff>420872</xdr:colOff>
      <xdr:row>12</xdr:row>
      <xdr:rowOff>177210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9703276-FCA5-3436-066E-2DBE1F9F25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7329" y="571500"/>
              <a:ext cx="3266743" cy="1891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77528</xdr:colOff>
      <xdr:row>3</xdr:row>
      <xdr:rowOff>23923</xdr:rowOff>
    </xdr:from>
    <xdr:to>
      <xdr:col>16</xdr:col>
      <xdr:colOff>564854</xdr:colOff>
      <xdr:row>12</xdr:row>
      <xdr:rowOff>177209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FD1CAE-7E84-6964-7E18-9DD5855F1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589583</xdr:colOff>
      <xdr:row>18</xdr:row>
      <xdr:rowOff>120570</xdr:rowOff>
    </xdr:from>
    <xdr:to>
      <xdr:col>4</xdr:col>
      <xdr:colOff>1315824</xdr:colOff>
      <xdr:row>25</xdr:row>
      <xdr:rowOff>171932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A9ECCE-E687-B835-E0DA-70AC5BE1E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194563</xdr:colOff>
      <xdr:row>32</xdr:row>
      <xdr:rowOff>42291</xdr:rowOff>
    </xdr:from>
    <xdr:to>
      <xdr:col>7</xdr:col>
      <xdr:colOff>79249</xdr:colOff>
      <xdr:row>38</xdr:row>
      <xdr:rowOff>174616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E66E8-2529-E267-7A4B-BFE5775BF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368181</xdr:colOff>
      <xdr:row>17</xdr:row>
      <xdr:rowOff>179394</xdr:rowOff>
    </xdr:from>
    <xdr:to>
      <xdr:col>24</xdr:col>
      <xdr:colOff>359139</xdr:colOff>
      <xdr:row>27</xdr:row>
      <xdr:rowOff>171764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F8CFF-17B0-D9F9-4994-BB58EA419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h Tuấn " refreshedDate="46136.679530324072" createdVersion="8" refreshedVersion="8" minRefreshableVersion="3" recordCount="486" xr:uid="{14B64892-6C3B-4EDD-9E1B-79B41F0E60AD}">
  <cacheSource type="worksheet">
    <worksheetSource name="Table1"/>
  </cacheSource>
  <cacheFields count="10">
    <cacheField name="Date" numFmtId="14">
      <sharedItems containsSemiMixedTypes="0" containsNonDate="0" containsDate="1" containsString="0" minDate="2021-01-04T00:00:00" maxDate="2022-05-05T00:00:00" count="486"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</sharedItems>
    </cacheField>
    <cacheField name="Description" numFmtId="0">
      <sharedItems/>
    </cacheField>
    <cacheField name="Debit" numFmtId="0">
      <sharedItems containsString="0" containsBlank="1" containsNumber="1" minValue="5" maxValue="900"/>
    </cacheField>
    <cacheField name="Credit" numFmtId="0">
      <sharedItems containsString="0" containsBlank="1" containsNumber="1" containsInteger="1" minValue="100" maxValue="5000"/>
    </cacheField>
    <cacheField name="Sub-category" numFmtId="0">
      <sharedItems count="18">
        <s v="Data with Decision"/>
        <s v="Coffee"/>
        <s v="Rent"/>
        <s v="Cash loan"/>
        <s v="Groceries"/>
        <s v="Gas/Electrics"/>
        <s v="Entertainment"/>
        <s v="Clothes"/>
        <s v="Restaurant"/>
        <s v="Taxi"/>
        <s v="YouTube"/>
        <s v="Teachable"/>
        <s v="Phone"/>
        <s v="Gifts"/>
        <s v="Donation"/>
        <s v="Fueling"/>
        <s v="Doctor"/>
        <s v="Furnishings"/>
      </sharedItems>
    </cacheField>
    <cacheField name="Category" numFmtId="0">
      <sharedItems count="8">
        <s v="Salary"/>
        <s v="Dining Out"/>
        <s v="Living Expenses"/>
        <s v="Transport"/>
        <s v="Discretionary"/>
        <s v="Passive"/>
        <s v="Charity"/>
        <s v="Medical"/>
      </sharedItems>
    </cacheField>
    <cacheField name="Category Type" numFmtId="0">
      <sharedItems count="2">
        <s v="Income"/>
        <s v="Expense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days" numFmtId="164">
      <sharedItems containsSemiMixedTypes="0" containsNonDate="0" containsDate="1" containsString="0" minDate="1899-12-31T00:00:00" maxDate="1900-01-07T00:00:00" count="7">
        <d v="1900-01-01T00:00:00"/>
        <d v="1900-01-02T00:00:00"/>
        <d v="1900-01-03T00:00:00"/>
        <d v="1900-01-04T00:00:00"/>
        <d v="1900-01-05T00:00:00"/>
        <d v="1900-01-06T00:00:00"/>
        <d v="1899-12-31T00:00:00"/>
      </sharedItems>
    </cacheField>
    <cacheField name="Amount" numFmtId="0">
      <sharedItems containsSemiMixedTypes="0" containsString="0" containsNumber="1" minValue="-9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s v="Data With Decision"/>
    <m/>
    <n v="5000"/>
    <x v="0"/>
    <x v="0"/>
    <x v="0"/>
    <x v="0"/>
    <x v="0"/>
    <n v="5000"/>
  </r>
  <r>
    <x v="1"/>
    <s v="Drink"/>
    <n v="5"/>
    <m/>
    <x v="1"/>
    <x v="1"/>
    <x v="1"/>
    <x v="0"/>
    <x v="1"/>
    <n v="-5"/>
  </r>
  <r>
    <x v="2"/>
    <s v="Estate Mangement"/>
    <n v="900"/>
    <m/>
    <x v="2"/>
    <x v="2"/>
    <x v="1"/>
    <x v="0"/>
    <x v="2"/>
    <n v="-900"/>
  </r>
  <r>
    <x v="3"/>
    <s v="Financail upgrade"/>
    <n v="150"/>
    <m/>
    <x v="3"/>
    <x v="3"/>
    <x v="1"/>
    <x v="0"/>
    <x v="3"/>
    <n v="-150"/>
  </r>
  <r>
    <x v="4"/>
    <s v="Drink"/>
    <n v="5"/>
    <m/>
    <x v="1"/>
    <x v="1"/>
    <x v="1"/>
    <x v="0"/>
    <x v="4"/>
    <n v="-5"/>
  </r>
  <r>
    <x v="5"/>
    <s v="Drink"/>
    <n v="5"/>
    <m/>
    <x v="1"/>
    <x v="1"/>
    <x v="1"/>
    <x v="0"/>
    <x v="5"/>
    <n v="-5"/>
  </r>
  <r>
    <x v="6"/>
    <s v="Drink"/>
    <n v="5"/>
    <m/>
    <x v="1"/>
    <x v="1"/>
    <x v="1"/>
    <x v="0"/>
    <x v="6"/>
    <n v="-5"/>
  </r>
  <r>
    <x v="7"/>
    <s v="Drink"/>
    <n v="5"/>
    <m/>
    <x v="1"/>
    <x v="1"/>
    <x v="1"/>
    <x v="0"/>
    <x v="0"/>
    <n v="-5"/>
  </r>
  <r>
    <x v="8"/>
    <s v="Green's"/>
    <n v="155"/>
    <m/>
    <x v="4"/>
    <x v="2"/>
    <x v="1"/>
    <x v="0"/>
    <x v="1"/>
    <n v="-155"/>
  </r>
  <r>
    <x v="9"/>
    <s v="Power source"/>
    <n v="50"/>
    <m/>
    <x v="5"/>
    <x v="2"/>
    <x v="1"/>
    <x v="0"/>
    <x v="2"/>
    <n v="-50"/>
  </r>
  <r>
    <x v="10"/>
    <s v="Drink"/>
    <n v="5"/>
    <m/>
    <x v="1"/>
    <x v="1"/>
    <x v="1"/>
    <x v="0"/>
    <x v="3"/>
    <n v="-5"/>
  </r>
  <r>
    <x v="11"/>
    <s v="Drink"/>
    <n v="5"/>
    <m/>
    <x v="1"/>
    <x v="1"/>
    <x v="1"/>
    <x v="0"/>
    <x v="4"/>
    <n v="-5"/>
  </r>
  <r>
    <x v="12"/>
    <s v="Fuel"/>
    <n v="77"/>
    <m/>
    <x v="1"/>
    <x v="1"/>
    <x v="1"/>
    <x v="0"/>
    <x v="5"/>
    <n v="-77"/>
  </r>
  <r>
    <x v="13"/>
    <s v="Drink"/>
    <n v="5"/>
    <m/>
    <x v="1"/>
    <x v="1"/>
    <x v="1"/>
    <x v="0"/>
    <x v="6"/>
    <n v="-5"/>
  </r>
  <r>
    <x v="14"/>
    <s v="Drink"/>
    <n v="5"/>
    <m/>
    <x v="1"/>
    <x v="1"/>
    <x v="1"/>
    <x v="0"/>
    <x v="0"/>
    <n v="-5"/>
  </r>
  <r>
    <x v="15"/>
    <s v="Green's"/>
    <n v="135"/>
    <m/>
    <x v="4"/>
    <x v="2"/>
    <x v="1"/>
    <x v="0"/>
    <x v="1"/>
    <n v="-135"/>
  </r>
  <r>
    <x v="16"/>
    <s v="Drink"/>
    <n v="5"/>
    <m/>
    <x v="1"/>
    <x v="1"/>
    <x v="1"/>
    <x v="0"/>
    <x v="2"/>
    <n v="-5"/>
  </r>
  <r>
    <x v="17"/>
    <s v="Drink"/>
    <n v="5"/>
    <m/>
    <x v="1"/>
    <x v="1"/>
    <x v="1"/>
    <x v="0"/>
    <x v="3"/>
    <n v="-5"/>
  </r>
  <r>
    <x v="18"/>
    <s v="Cinemas"/>
    <n v="40"/>
    <m/>
    <x v="6"/>
    <x v="4"/>
    <x v="1"/>
    <x v="0"/>
    <x v="4"/>
    <n v="-40"/>
  </r>
  <r>
    <x v="19"/>
    <s v="Fashionistas"/>
    <n v="98"/>
    <m/>
    <x v="7"/>
    <x v="4"/>
    <x v="1"/>
    <x v="0"/>
    <x v="5"/>
    <n v="-98"/>
  </r>
  <r>
    <x v="20"/>
    <s v="Burger"/>
    <n v="52"/>
    <m/>
    <x v="8"/>
    <x v="1"/>
    <x v="1"/>
    <x v="0"/>
    <x v="6"/>
    <n v="-52"/>
  </r>
  <r>
    <x v="21"/>
    <s v="Uba"/>
    <n v="28"/>
    <m/>
    <x v="9"/>
    <x v="3"/>
    <x v="1"/>
    <x v="0"/>
    <x v="0"/>
    <n v="-28"/>
  </r>
  <r>
    <x v="22"/>
    <s v="Onlne earning"/>
    <m/>
    <n v="4500"/>
    <x v="10"/>
    <x v="5"/>
    <x v="0"/>
    <x v="0"/>
    <x v="1"/>
    <n v="4500"/>
  </r>
  <r>
    <x v="23"/>
    <s v="Drink"/>
    <n v="5"/>
    <m/>
    <x v="1"/>
    <x v="1"/>
    <x v="1"/>
    <x v="0"/>
    <x v="2"/>
    <n v="-5"/>
  </r>
  <r>
    <x v="24"/>
    <s v="Drink"/>
    <n v="5"/>
    <m/>
    <x v="1"/>
    <x v="1"/>
    <x v="1"/>
    <x v="0"/>
    <x v="3"/>
    <n v="-5"/>
  </r>
  <r>
    <x v="25"/>
    <s v="Onlne earning"/>
    <m/>
    <n v="4500"/>
    <x v="11"/>
    <x v="5"/>
    <x v="0"/>
    <x v="0"/>
    <x v="4"/>
    <n v="4500"/>
  </r>
  <r>
    <x v="26"/>
    <s v="Phone"/>
    <n v="40"/>
    <m/>
    <x v="12"/>
    <x v="2"/>
    <x v="1"/>
    <x v="0"/>
    <x v="5"/>
    <n v="-40"/>
  </r>
  <r>
    <x v="27"/>
    <s v="Sallah give away"/>
    <n v="45"/>
    <m/>
    <x v="13"/>
    <x v="4"/>
    <x v="1"/>
    <x v="0"/>
    <x v="6"/>
    <n v="-45"/>
  </r>
  <r>
    <x v="28"/>
    <s v="Online streaming"/>
    <n v="32"/>
    <m/>
    <x v="6"/>
    <x v="4"/>
    <x v="1"/>
    <x v="1"/>
    <x v="0"/>
    <n v="-32"/>
  </r>
  <r>
    <x v="29"/>
    <s v="Drink"/>
    <n v="5"/>
    <m/>
    <x v="1"/>
    <x v="1"/>
    <x v="1"/>
    <x v="1"/>
    <x v="1"/>
    <n v="-5"/>
  </r>
  <r>
    <x v="30"/>
    <s v="Drink"/>
    <n v="5"/>
    <m/>
    <x v="1"/>
    <x v="1"/>
    <x v="1"/>
    <x v="1"/>
    <x v="2"/>
    <n v="-5"/>
  </r>
  <r>
    <x v="31"/>
    <s v="Drink"/>
    <n v="5"/>
    <m/>
    <x v="1"/>
    <x v="1"/>
    <x v="1"/>
    <x v="1"/>
    <x v="3"/>
    <n v="-5"/>
  </r>
  <r>
    <x v="32"/>
    <s v="Green's"/>
    <n v="170"/>
    <m/>
    <x v="4"/>
    <x v="2"/>
    <x v="1"/>
    <x v="1"/>
    <x v="4"/>
    <n v="-170"/>
  </r>
  <r>
    <x v="33"/>
    <s v="Suya"/>
    <n v="37"/>
    <m/>
    <x v="8"/>
    <x v="1"/>
    <x v="1"/>
    <x v="1"/>
    <x v="5"/>
    <n v="-37"/>
  </r>
  <r>
    <x v="34"/>
    <s v="Oha soup/White soup"/>
    <n v="12"/>
    <m/>
    <x v="8"/>
    <x v="1"/>
    <x v="1"/>
    <x v="1"/>
    <x v="6"/>
    <n v="-12"/>
  </r>
  <r>
    <x v="35"/>
    <s v="Orphanage"/>
    <n v="55"/>
    <m/>
    <x v="14"/>
    <x v="6"/>
    <x v="1"/>
    <x v="1"/>
    <x v="0"/>
    <n v="-55"/>
  </r>
  <r>
    <x v="36"/>
    <s v="Fuel"/>
    <n v="63"/>
    <m/>
    <x v="15"/>
    <x v="3"/>
    <x v="1"/>
    <x v="1"/>
    <x v="1"/>
    <n v="-63"/>
  </r>
  <r>
    <x v="37"/>
    <s v="Drink"/>
    <n v="5"/>
    <m/>
    <x v="1"/>
    <x v="1"/>
    <x v="1"/>
    <x v="1"/>
    <x v="2"/>
    <n v="-5"/>
  </r>
  <r>
    <x v="38"/>
    <s v="Drink"/>
    <n v="5"/>
    <m/>
    <x v="1"/>
    <x v="1"/>
    <x v="1"/>
    <x v="1"/>
    <x v="3"/>
    <n v="-5"/>
  </r>
  <r>
    <x v="39"/>
    <s v="Drink"/>
    <n v="5"/>
    <m/>
    <x v="1"/>
    <x v="1"/>
    <x v="1"/>
    <x v="1"/>
    <x v="4"/>
    <n v="-5"/>
  </r>
  <r>
    <x v="40"/>
    <s v="Drink"/>
    <n v="5"/>
    <m/>
    <x v="1"/>
    <x v="1"/>
    <x v="1"/>
    <x v="1"/>
    <x v="5"/>
    <n v="-5"/>
  </r>
  <r>
    <x v="41"/>
    <s v="Drink"/>
    <n v="5"/>
    <m/>
    <x v="1"/>
    <x v="1"/>
    <x v="1"/>
    <x v="1"/>
    <x v="6"/>
    <n v="-5"/>
  </r>
  <r>
    <x v="42"/>
    <s v="Green's"/>
    <n v="162"/>
    <m/>
    <x v="4"/>
    <x v="2"/>
    <x v="1"/>
    <x v="1"/>
    <x v="0"/>
    <n v="-162"/>
  </r>
  <r>
    <x v="43"/>
    <s v="Trainers"/>
    <n v="125"/>
    <m/>
    <x v="7"/>
    <x v="4"/>
    <x v="1"/>
    <x v="1"/>
    <x v="1"/>
    <n v="-125"/>
  </r>
  <r>
    <x v="44"/>
    <s v="Hangingout/Ticket"/>
    <n v="175"/>
    <m/>
    <x v="6"/>
    <x v="4"/>
    <x v="1"/>
    <x v="1"/>
    <x v="2"/>
    <n v="-175"/>
  </r>
  <r>
    <x v="45"/>
    <s v="Fashionistas"/>
    <n v="145"/>
    <m/>
    <x v="7"/>
    <x v="4"/>
    <x v="1"/>
    <x v="1"/>
    <x v="3"/>
    <n v="-145"/>
  </r>
  <r>
    <x v="46"/>
    <s v="Uba"/>
    <n v="23"/>
    <m/>
    <x v="9"/>
    <x v="3"/>
    <x v="1"/>
    <x v="1"/>
    <x v="4"/>
    <n v="-23"/>
  </r>
  <r>
    <x v="47"/>
    <s v="Data With Decision"/>
    <m/>
    <n v="5000"/>
    <x v="0"/>
    <x v="0"/>
    <x v="0"/>
    <x v="1"/>
    <x v="5"/>
    <n v="5000"/>
  </r>
  <r>
    <x v="48"/>
    <s v="Drink"/>
    <n v="5"/>
    <m/>
    <x v="1"/>
    <x v="1"/>
    <x v="1"/>
    <x v="1"/>
    <x v="6"/>
    <n v="-5"/>
  </r>
  <r>
    <x v="49"/>
    <s v="Estate Mangement"/>
    <n v="900"/>
    <m/>
    <x v="2"/>
    <x v="2"/>
    <x v="1"/>
    <x v="1"/>
    <x v="0"/>
    <n v="-900"/>
  </r>
  <r>
    <x v="50"/>
    <s v="Financail upgrade"/>
    <n v="150"/>
    <m/>
    <x v="3"/>
    <x v="3"/>
    <x v="1"/>
    <x v="1"/>
    <x v="1"/>
    <n v="-150"/>
  </r>
  <r>
    <x v="51"/>
    <s v="Drink"/>
    <n v="5"/>
    <m/>
    <x v="1"/>
    <x v="1"/>
    <x v="1"/>
    <x v="1"/>
    <x v="2"/>
    <n v="-5"/>
  </r>
  <r>
    <x v="52"/>
    <s v="Drink"/>
    <n v="5"/>
    <m/>
    <x v="1"/>
    <x v="1"/>
    <x v="1"/>
    <x v="1"/>
    <x v="3"/>
    <n v="-5"/>
  </r>
  <r>
    <x v="53"/>
    <s v="Drink"/>
    <n v="5"/>
    <m/>
    <x v="1"/>
    <x v="1"/>
    <x v="1"/>
    <x v="1"/>
    <x v="4"/>
    <n v="-5"/>
  </r>
  <r>
    <x v="54"/>
    <s v="Drink"/>
    <n v="5"/>
    <m/>
    <x v="1"/>
    <x v="1"/>
    <x v="1"/>
    <x v="1"/>
    <x v="5"/>
    <n v="-5"/>
  </r>
  <r>
    <x v="55"/>
    <s v="Green's"/>
    <n v="205"/>
    <m/>
    <x v="4"/>
    <x v="2"/>
    <x v="1"/>
    <x v="1"/>
    <x v="6"/>
    <n v="-205"/>
  </r>
  <r>
    <x v="56"/>
    <s v="Power source"/>
    <n v="51.1"/>
    <m/>
    <x v="5"/>
    <x v="2"/>
    <x v="1"/>
    <x v="2"/>
    <x v="0"/>
    <n v="-51.1"/>
  </r>
  <r>
    <x v="57"/>
    <s v="Drink"/>
    <n v="5"/>
    <m/>
    <x v="1"/>
    <x v="1"/>
    <x v="1"/>
    <x v="2"/>
    <x v="1"/>
    <n v="-5"/>
  </r>
  <r>
    <x v="58"/>
    <s v="Drink"/>
    <n v="5"/>
    <m/>
    <x v="1"/>
    <x v="1"/>
    <x v="1"/>
    <x v="2"/>
    <x v="2"/>
    <n v="-5"/>
  </r>
  <r>
    <x v="59"/>
    <s v="Fuel"/>
    <n v="78"/>
    <m/>
    <x v="15"/>
    <x v="3"/>
    <x v="1"/>
    <x v="2"/>
    <x v="3"/>
    <n v="-78"/>
  </r>
  <r>
    <x v="60"/>
    <s v="Drink"/>
    <n v="5"/>
    <m/>
    <x v="1"/>
    <x v="1"/>
    <x v="1"/>
    <x v="2"/>
    <x v="4"/>
    <n v="-5"/>
  </r>
  <r>
    <x v="61"/>
    <s v="Drink"/>
    <n v="5"/>
    <m/>
    <x v="1"/>
    <x v="1"/>
    <x v="1"/>
    <x v="2"/>
    <x v="5"/>
    <n v="-5"/>
  </r>
  <r>
    <x v="62"/>
    <s v="Green's"/>
    <n v="135.9"/>
    <m/>
    <x v="4"/>
    <x v="2"/>
    <x v="1"/>
    <x v="2"/>
    <x v="6"/>
    <n v="-135.9"/>
  </r>
  <r>
    <x v="63"/>
    <s v="Drink"/>
    <n v="5"/>
    <m/>
    <x v="1"/>
    <x v="1"/>
    <x v="1"/>
    <x v="2"/>
    <x v="0"/>
    <n v="-5"/>
  </r>
  <r>
    <x v="64"/>
    <s v="Drink"/>
    <n v="5"/>
    <m/>
    <x v="1"/>
    <x v="1"/>
    <x v="1"/>
    <x v="2"/>
    <x v="1"/>
    <n v="-5"/>
  </r>
  <r>
    <x v="65"/>
    <s v="Cinemas"/>
    <n v="40.9"/>
    <m/>
    <x v="6"/>
    <x v="4"/>
    <x v="1"/>
    <x v="2"/>
    <x v="2"/>
    <n v="-40.9"/>
  </r>
  <r>
    <x v="66"/>
    <s v="Fashionistas"/>
    <n v="99"/>
    <m/>
    <x v="7"/>
    <x v="4"/>
    <x v="1"/>
    <x v="2"/>
    <x v="3"/>
    <n v="-99"/>
  </r>
  <r>
    <x v="67"/>
    <s v="Burger"/>
    <n v="53"/>
    <m/>
    <x v="8"/>
    <x v="1"/>
    <x v="1"/>
    <x v="2"/>
    <x v="4"/>
    <n v="-53"/>
  </r>
  <r>
    <x v="68"/>
    <s v="Uba"/>
    <n v="28.9"/>
    <m/>
    <x v="9"/>
    <x v="3"/>
    <x v="1"/>
    <x v="2"/>
    <x v="5"/>
    <n v="-28.9"/>
  </r>
  <r>
    <x v="69"/>
    <s v="Onlne earning"/>
    <m/>
    <n v="800"/>
    <x v="10"/>
    <x v="5"/>
    <x v="0"/>
    <x v="2"/>
    <x v="6"/>
    <n v="800"/>
  </r>
  <r>
    <x v="70"/>
    <s v="Drink"/>
    <n v="5"/>
    <m/>
    <x v="1"/>
    <x v="1"/>
    <x v="1"/>
    <x v="2"/>
    <x v="0"/>
    <n v="-5"/>
  </r>
  <r>
    <x v="71"/>
    <s v="Drink"/>
    <n v="5"/>
    <m/>
    <x v="1"/>
    <x v="1"/>
    <x v="1"/>
    <x v="2"/>
    <x v="1"/>
    <n v="-5"/>
  </r>
  <r>
    <x v="72"/>
    <s v="Phone"/>
    <n v="40"/>
    <m/>
    <x v="12"/>
    <x v="2"/>
    <x v="1"/>
    <x v="2"/>
    <x v="2"/>
    <n v="-40"/>
  </r>
  <r>
    <x v="73"/>
    <s v="Sallah give away"/>
    <n v="45.9"/>
    <m/>
    <x v="13"/>
    <x v="4"/>
    <x v="1"/>
    <x v="2"/>
    <x v="3"/>
    <n v="-45.9"/>
  </r>
  <r>
    <x v="74"/>
    <s v="Online streaming"/>
    <n v="35"/>
    <m/>
    <x v="6"/>
    <x v="4"/>
    <x v="1"/>
    <x v="2"/>
    <x v="4"/>
    <n v="-35"/>
  </r>
  <r>
    <x v="75"/>
    <s v="Drink"/>
    <n v="5"/>
    <m/>
    <x v="1"/>
    <x v="1"/>
    <x v="1"/>
    <x v="2"/>
    <x v="5"/>
    <n v="-5"/>
  </r>
  <r>
    <x v="76"/>
    <s v="Drink"/>
    <n v="5"/>
    <m/>
    <x v="1"/>
    <x v="1"/>
    <x v="1"/>
    <x v="2"/>
    <x v="6"/>
    <n v="-5"/>
  </r>
  <r>
    <x v="77"/>
    <s v="Drink"/>
    <n v="5"/>
    <m/>
    <x v="1"/>
    <x v="1"/>
    <x v="1"/>
    <x v="2"/>
    <x v="0"/>
    <n v="-5"/>
  </r>
  <r>
    <x v="78"/>
    <s v="Green's"/>
    <n v="171"/>
    <m/>
    <x v="4"/>
    <x v="2"/>
    <x v="1"/>
    <x v="2"/>
    <x v="1"/>
    <n v="-171"/>
  </r>
  <r>
    <x v="79"/>
    <s v="Suya"/>
    <n v="37.9"/>
    <m/>
    <x v="8"/>
    <x v="1"/>
    <x v="1"/>
    <x v="2"/>
    <x v="2"/>
    <n v="-37.9"/>
  </r>
  <r>
    <x v="80"/>
    <s v="Oha soup/White soup"/>
    <n v="12.9"/>
    <m/>
    <x v="8"/>
    <x v="1"/>
    <x v="1"/>
    <x v="2"/>
    <x v="3"/>
    <n v="-12.9"/>
  </r>
  <r>
    <x v="81"/>
    <s v="Orphanage"/>
    <n v="55"/>
    <m/>
    <x v="14"/>
    <x v="6"/>
    <x v="1"/>
    <x v="2"/>
    <x v="4"/>
    <n v="-55"/>
  </r>
  <r>
    <x v="82"/>
    <s v="Fuel"/>
    <n v="64.099999999999994"/>
    <m/>
    <x v="15"/>
    <x v="3"/>
    <x v="1"/>
    <x v="2"/>
    <x v="5"/>
    <n v="-64.099999999999994"/>
  </r>
  <r>
    <x v="83"/>
    <s v="Drink"/>
    <n v="5"/>
    <m/>
    <x v="1"/>
    <x v="1"/>
    <x v="1"/>
    <x v="2"/>
    <x v="6"/>
    <n v="-5"/>
  </r>
  <r>
    <x v="84"/>
    <s v="Drink"/>
    <n v="5"/>
    <m/>
    <x v="1"/>
    <x v="1"/>
    <x v="1"/>
    <x v="2"/>
    <x v="0"/>
    <n v="-5"/>
  </r>
  <r>
    <x v="85"/>
    <s v="Drink"/>
    <n v="5"/>
    <m/>
    <x v="1"/>
    <x v="1"/>
    <x v="1"/>
    <x v="2"/>
    <x v="1"/>
    <n v="-5"/>
  </r>
  <r>
    <x v="86"/>
    <s v="Drink"/>
    <n v="5"/>
    <m/>
    <x v="1"/>
    <x v="1"/>
    <x v="1"/>
    <x v="2"/>
    <x v="2"/>
    <n v="-5"/>
  </r>
  <r>
    <x v="87"/>
    <s v="Drink"/>
    <n v="5"/>
    <m/>
    <x v="1"/>
    <x v="1"/>
    <x v="1"/>
    <x v="3"/>
    <x v="3"/>
    <n v="-5"/>
  </r>
  <r>
    <x v="88"/>
    <s v="Green's"/>
    <n v="162.9"/>
    <m/>
    <x v="4"/>
    <x v="2"/>
    <x v="1"/>
    <x v="3"/>
    <x v="4"/>
    <n v="-162.9"/>
  </r>
  <r>
    <x v="89"/>
    <s v="Trainers"/>
    <n v="125.9"/>
    <m/>
    <x v="7"/>
    <x v="4"/>
    <x v="1"/>
    <x v="3"/>
    <x v="5"/>
    <n v="-125.9"/>
  </r>
  <r>
    <x v="90"/>
    <s v="Global Fashion"/>
    <n v="137"/>
    <m/>
    <x v="7"/>
    <x v="4"/>
    <x v="1"/>
    <x v="3"/>
    <x v="6"/>
    <n v="-137"/>
  </r>
  <r>
    <x v="91"/>
    <s v="Fashionistas"/>
    <n v="146.1"/>
    <m/>
    <x v="7"/>
    <x v="4"/>
    <x v="1"/>
    <x v="3"/>
    <x v="0"/>
    <n v="-146.1"/>
  </r>
  <r>
    <x v="92"/>
    <s v="Uba"/>
    <n v="24.1"/>
    <m/>
    <x v="9"/>
    <x v="3"/>
    <x v="1"/>
    <x v="3"/>
    <x v="1"/>
    <n v="-24.1"/>
  </r>
  <r>
    <x v="93"/>
    <s v="Data With Decision"/>
    <m/>
    <n v="5000"/>
    <x v="0"/>
    <x v="0"/>
    <x v="0"/>
    <x v="3"/>
    <x v="2"/>
    <n v="5000"/>
  </r>
  <r>
    <x v="94"/>
    <s v="Drink"/>
    <n v="5"/>
    <m/>
    <x v="1"/>
    <x v="1"/>
    <x v="1"/>
    <x v="3"/>
    <x v="3"/>
    <n v="-5"/>
  </r>
  <r>
    <x v="95"/>
    <s v="Estate Mangement"/>
    <n v="900"/>
    <m/>
    <x v="2"/>
    <x v="2"/>
    <x v="1"/>
    <x v="3"/>
    <x v="4"/>
    <n v="-900"/>
  </r>
  <r>
    <x v="96"/>
    <s v="Financail upgrade"/>
    <n v="150"/>
    <m/>
    <x v="3"/>
    <x v="3"/>
    <x v="1"/>
    <x v="3"/>
    <x v="5"/>
    <n v="-150"/>
  </r>
  <r>
    <x v="97"/>
    <s v="Drink"/>
    <n v="5"/>
    <m/>
    <x v="1"/>
    <x v="1"/>
    <x v="1"/>
    <x v="3"/>
    <x v="6"/>
    <n v="-5"/>
  </r>
  <r>
    <x v="98"/>
    <s v="Drink"/>
    <n v="5"/>
    <m/>
    <x v="1"/>
    <x v="1"/>
    <x v="1"/>
    <x v="3"/>
    <x v="0"/>
    <n v="-5"/>
  </r>
  <r>
    <x v="99"/>
    <s v="Drink"/>
    <n v="5"/>
    <m/>
    <x v="1"/>
    <x v="1"/>
    <x v="1"/>
    <x v="3"/>
    <x v="1"/>
    <n v="-5"/>
  </r>
  <r>
    <x v="100"/>
    <s v="Drink"/>
    <n v="5"/>
    <m/>
    <x v="1"/>
    <x v="1"/>
    <x v="1"/>
    <x v="3"/>
    <x v="2"/>
    <n v="-5"/>
  </r>
  <r>
    <x v="101"/>
    <s v="Green's"/>
    <n v="149"/>
    <m/>
    <x v="4"/>
    <x v="2"/>
    <x v="1"/>
    <x v="3"/>
    <x v="3"/>
    <n v="-149"/>
  </r>
  <r>
    <x v="102"/>
    <s v="Power source"/>
    <n v="52.1"/>
    <m/>
    <x v="5"/>
    <x v="2"/>
    <x v="1"/>
    <x v="3"/>
    <x v="4"/>
    <n v="-52.1"/>
  </r>
  <r>
    <x v="103"/>
    <s v="Drink"/>
    <n v="5"/>
    <m/>
    <x v="1"/>
    <x v="1"/>
    <x v="1"/>
    <x v="3"/>
    <x v="5"/>
    <n v="-5"/>
  </r>
  <r>
    <x v="104"/>
    <s v="Drink"/>
    <n v="5"/>
    <m/>
    <x v="1"/>
    <x v="1"/>
    <x v="1"/>
    <x v="3"/>
    <x v="6"/>
    <n v="-5"/>
  </r>
  <r>
    <x v="105"/>
    <s v="Fuel"/>
    <n v="78.900000000000006"/>
    <m/>
    <x v="15"/>
    <x v="3"/>
    <x v="1"/>
    <x v="3"/>
    <x v="0"/>
    <n v="-78.900000000000006"/>
  </r>
  <r>
    <x v="106"/>
    <s v="Drink"/>
    <n v="5"/>
    <m/>
    <x v="1"/>
    <x v="1"/>
    <x v="1"/>
    <x v="3"/>
    <x v="1"/>
    <n v="-5"/>
  </r>
  <r>
    <x v="107"/>
    <s v="Drink"/>
    <n v="5"/>
    <m/>
    <x v="1"/>
    <x v="1"/>
    <x v="1"/>
    <x v="3"/>
    <x v="2"/>
    <n v="-5"/>
  </r>
  <r>
    <x v="108"/>
    <s v="Green's"/>
    <n v="137"/>
    <m/>
    <x v="4"/>
    <x v="2"/>
    <x v="1"/>
    <x v="3"/>
    <x v="3"/>
    <n v="-137"/>
  </r>
  <r>
    <x v="109"/>
    <s v="Drink"/>
    <n v="5"/>
    <m/>
    <x v="1"/>
    <x v="1"/>
    <x v="1"/>
    <x v="3"/>
    <x v="4"/>
    <n v="-5"/>
  </r>
  <r>
    <x v="110"/>
    <s v="Drink"/>
    <n v="5"/>
    <m/>
    <x v="1"/>
    <x v="1"/>
    <x v="1"/>
    <x v="3"/>
    <x v="5"/>
    <n v="-5"/>
  </r>
  <r>
    <x v="111"/>
    <s v="Cinemas"/>
    <n v="41.8"/>
    <m/>
    <x v="6"/>
    <x v="4"/>
    <x v="1"/>
    <x v="3"/>
    <x v="6"/>
    <n v="-41.8"/>
  </r>
  <r>
    <x v="112"/>
    <s v="Fashionistas"/>
    <n v="99.9"/>
    <m/>
    <x v="7"/>
    <x v="4"/>
    <x v="1"/>
    <x v="3"/>
    <x v="0"/>
    <n v="-99.9"/>
  </r>
  <r>
    <x v="113"/>
    <s v="Burger"/>
    <n v="54"/>
    <m/>
    <x v="8"/>
    <x v="1"/>
    <x v="1"/>
    <x v="3"/>
    <x v="1"/>
    <n v="-54"/>
  </r>
  <r>
    <x v="114"/>
    <s v="Uba"/>
    <n v="30"/>
    <m/>
    <x v="9"/>
    <x v="3"/>
    <x v="1"/>
    <x v="3"/>
    <x v="2"/>
    <n v="-30"/>
  </r>
  <r>
    <x v="115"/>
    <s v="Onlne earning"/>
    <m/>
    <n v="1000"/>
    <x v="10"/>
    <x v="5"/>
    <x v="0"/>
    <x v="3"/>
    <x v="3"/>
    <n v="1000"/>
  </r>
  <r>
    <x v="116"/>
    <s v="Drink"/>
    <n v="5"/>
    <m/>
    <x v="1"/>
    <x v="1"/>
    <x v="1"/>
    <x v="3"/>
    <x v="4"/>
    <n v="-5"/>
  </r>
  <r>
    <x v="117"/>
    <s v="Drink"/>
    <n v="5"/>
    <m/>
    <x v="1"/>
    <x v="1"/>
    <x v="1"/>
    <x v="4"/>
    <x v="5"/>
    <n v="-5"/>
  </r>
  <r>
    <x v="118"/>
    <s v="Taken medication"/>
    <n v="75"/>
    <m/>
    <x v="16"/>
    <x v="7"/>
    <x v="1"/>
    <x v="4"/>
    <x v="6"/>
    <n v="-75"/>
  </r>
  <r>
    <x v="119"/>
    <s v="Phone"/>
    <n v="40"/>
    <m/>
    <x v="12"/>
    <x v="2"/>
    <x v="1"/>
    <x v="4"/>
    <x v="0"/>
    <n v="-40"/>
  </r>
  <r>
    <x v="120"/>
    <s v="Sallah give away"/>
    <n v="46.8"/>
    <m/>
    <x v="13"/>
    <x v="4"/>
    <x v="1"/>
    <x v="4"/>
    <x v="1"/>
    <n v="-46.8"/>
  </r>
  <r>
    <x v="121"/>
    <s v="Online streaming"/>
    <n v="35"/>
    <m/>
    <x v="6"/>
    <x v="4"/>
    <x v="1"/>
    <x v="4"/>
    <x v="2"/>
    <n v="-35"/>
  </r>
  <r>
    <x v="122"/>
    <s v="Drink"/>
    <n v="5"/>
    <m/>
    <x v="1"/>
    <x v="1"/>
    <x v="1"/>
    <x v="4"/>
    <x v="3"/>
    <n v="-5"/>
  </r>
  <r>
    <x v="123"/>
    <s v="Drink"/>
    <n v="5"/>
    <m/>
    <x v="1"/>
    <x v="1"/>
    <x v="1"/>
    <x v="4"/>
    <x v="4"/>
    <n v="-5"/>
  </r>
  <r>
    <x v="124"/>
    <s v="Drink"/>
    <n v="5"/>
    <m/>
    <x v="1"/>
    <x v="1"/>
    <x v="1"/>
    <x v="4"/>
    <x v="5"/>
    <n v="-5"/>
  </r>
  <r>
    <x v="125"/>
    <s v="Green's"/>
    <n v="171.9"/>
    <m/>
    <x v="4"/>
    <x v="2"/>
    <x v="1"/>
    <x v="4"/>
    <x v="6"/>
    <n v="-171.9"/>
  </r>
  <r>
    <x v="126"/>
    <s v="Suya"/>
    <n v="39"/>
    <m/>
    <x v="8"/>
    <x v="1"/>
    <x v="1"/>
    <x v="4"/>
    <x v="0"/>
    <n v="-39"/>
  </r>
  <r>
    <x v="127"/>
    <s v="Oha soup/White soup"/>
    <n v="14"/>
    <m/>
    <x v="8"/>
    <x v="1"/>
    <x v="1"/>
    <x v="4"/>
    <x v="1"/>
    <n v="-14"/>
  </r>
  <r>
    <x v="128"/>
    <s v="Orphanage"/>
    <n v="55"/>
    <m/>
    <x v="14"/>
    <x v="6"/>
    <x v="1"/>
    <x v="4"/>
    <x v="2"/>
    <n v="-55"/>
  </r>
  <r>
    <x v="129"/>
    <s v="Fuel"/>
    <n v="65"/>
    <m/>
    <x v="15"/>
    <x v="3"/>
    <x v="1"/>
    <x v="4"/>
    <x v="3"/>
    <n v="-65"/>
  </r>
  <r>
    <x v="130"/>
    <s v="Drink"/>
    <n v="5"/>
    <m/>
    <x v="1"/>
    <x v="1"/>
    <x v="1"/>
    <x v="4"/>
    <x v="4"/>
    <n v="-5"/>
  </r>
  <r>
    <x v="131"/>
    <s v="Drink"/>
    <n v="5"/>
    <m/>
    <x v="1"/>
    <x v="1"/>
    <x v="1"/>
    <x v="4"/>
    <x v="5"/>
    <n v="-5"/>
  </r>
  <r>
    <x v="132"/>
    <s v="Drink"/>
    <n v="5"/>
    <m/>
    <x v="1"/>
    <x v="1"/>
    <x v="1"/>
    <x v="4"/>
    <x v="6"/>
    <n v="-5"/>
  </r>
  <r>
    <x v="133"/>
    <s v="Drink"/>
    <n v="5"/>
    <m/>
    <x v="1"/>
    <x v="1"/>
    <x v="1"/>
    <x v="4"/>
    <x v="0"/>
    <n v="-5"/>
  </r>
  <r>
    <x v="134"/>
    <s v="Drink"/>
    <n v="5"/>
    <m/>
    <x v="1"/>
    <x v="1"/>
    <x v="1"/>
    <x v="4"/>
    <x v="1"/>
    <n v="-5"/>
  </r>
  <r>
    <x v="135"/>
    <s v="Green's"/>
    <n v="209"/>
    <m/>
    <x v="4"/>
    <x v="2"/>
    <x v="1"/>
    <x v="4"/>
    <x v="2"/>
    <n v="-209"/>
  </r>
  <r>
    <x v="136"/>
    <s v="Trainers"/>
    <n v="127"/>
    <m/>
    <x v="7"/>
    <x v="4"/>
    <x v="1"/>
    <x v="4"/>
    <x v="3"/>
    <n v="-127"/>
  </r>
  <r>
    <x v="137"/>
    <s v="Sport ware"/>
    <n v="177.2"/>
    <m/>
    <x v="7"/>
    <x v="4"/>
    <x v="1"/>
    <x v="4"/>
    <x v="4"/>
    <n v="-177.2"/>
  </r>
  <r>
    <x v="138"/>
    <s v="Fashionistas"/>
    <n v="147.1"/>
    <m/>
    <x v="7"/>
    <x v="4"/>
    <x v="1"/>
    <x v="4"/>
    <x v="5"/>
    <n v="-147.1"/>
  </r>
  <r>
    <x v="139"/>
    <s v="Uba"/>
    <n v="25"/>
    <m/>
    <x v="9"/>
    <x v="3"/>
    <x v="1"/>
    <x v="4"/>
    <x v="6"/>
    <n v="-25"/>
  </r>
  <r>
    <x v="140"/>
    <s v="Foodary"/>
    <n v="15"/>
    <m/>
    <x v="8"/>
    <x v="1"/>
    <x v="1"/>
    <x v="4"/>
    <x v="0"/>
    <n v="-15"/>
  </r>
  <r>
    <x v="141"/>
    <s v="Drink"/>
    <n v="5"/>
    <m/>
    <x v="1"/>
    <x v="1"/>
    <x v="1"/>
    <x v="4"/>
    <x v="1"/>
    <n v="-5"/>
  </r>
  <r>
    <x v="142"/>
    <s v="Drink"/>
    <n v="5"/>
    <m/>
    <x v="1"/>
    <x v="1"/>
    <x v="1"/>
    <x v="4"/>
    <x v="2"/>
    <n v="-5"/>
  </r>
  <r>
    <x v="143"/>
    <s v="Data With Decision"/>
    <m/>
    <n v="5000"/>
    <x v="0"/>
    <x v="0"/>
    <x v="0"/>
    <x v="4"/>
    <x v="3"/>
    <n v="5000"/>
  </r>
  <r>
    <x v="144"/>
    <s v="Drink"/>
    <n v="5"/>
    <m/>
    <x v="1"/>
    <x v="1"/>
    <x v="1"/>
    <x v="4"/>
    <x v="4"/>
    <n v="-5"/>
  </r>
  <r>
    <x v="145"/>
    <s v="Estate Mangement"/>
    <n v="900"/>
    <m/>
    <x v="2"/>
    <x v="2"/>
    <x v="1"/>
    <x v="4"/>
    <x v="5"/>
    <n v="-900"/>
  </r>
  <r>
    <x v="146"/>
    <s v="Financail upgrade"/>
    <n v="150"/>
    <m/>
    <x v="3"/>
    <x v="3"/>
    <x v="1"/>
    <x v="4"/>
    <x v="6"/>
    <n v="-150"/>
  </r>
  <r>
    <x v="147"/>
    <s v="Drink"/>
    <n v="5"/>
    <m/>
    <x v="1"/>
    <x v="1"/>
    <x v="1"/>
    <x v="4"/>
    <x v="0"/>
    <n v="-5"/>
  </r>
  <r>
    <x v="148"/>
    <s v="Drink"/>
    <n v="5"/>
    <m/>
    <x v="1"/>
    <x v="1"/>
    <x v="1"/>
    <x v="5"/>
    <x v="1"/>
    <n v="-5"/>
  </r>
  <r>
    <x v="149"/>
    <s v="Drink"/>
    <n v="5"/>
    <m/>
    <x v="1"/>
    <x v="1"/>
    <x v="1"/>
    <x v="5"/>
    <x v="2"/>
    <n v="-5"/>
  </r>
  <r>
    <x v="150"/>
    <s v="Drink"/>
    <n v="5"/>
    <m/>
    <x v="1"/>
    <x v="1"/>
    <x v="1"/>
    <x v="5"/>
    <x v="3"/>
    <n v="-5"/>
  </r>
  <r>
    <x v="151"/>
    <s v="Green's"/>
    <n v="158.19999999999999"/>
    <m/>
    <x v="4"/>
    <x v="2"/>
    <x v="1"/>
    <x v="5"/>
    <x v="4"/>
    <n v="-158.19999999999999"/>
  </r>
  <r>
    <x v="152"/>
    <s v="Power source"/>
    <n v="53.2"/>
    <m/>
    <x v="5"/>
    <x v="2"/>
    <x v="1"/>
    <x v="5"/>
    <x v="5"/>
    <n v="-53.2"/>
  </r>
  <r>
    <x v="153"/>
    <s v="Drink"/>
    <n v="5"/>
    <m/>
    <x v="1"/>
    <x v="1"/>
    <x v="1"/>
    <x v="5"/>
    <x v="6"/>
    <n v="-5"/>
  </r>
  <r>
    <x v="154"/>
    <s v="Drink"/>
    <n v="5"/>
    <m/>
    <x v="1"/>
    <x v="1"/>
    <x v="1"/>
    <x v="5"/>
    <x v="0"/>
    <n v="-5"/>
  </r>
  <r>
    <x v="155"/>
    <s v="Fuel"/>
    <n v="79.900000000000006"/>
    <m/>
    <x v="15"/>
    <x v="3"/>
    <x v="1"/>
    <x v="5"/>
    <x v="1"/>
    <n v="-79.900000000000006"/>
  </r>
  <r>
    <x v="156"/>
    <s v="Drink"/>
    <n v="5"/>
    <m/>
    <x v="1"/>
    <x v="1"/>
    <x v="1"/>
    <x v="5"/>
    <x v="2"/>
    <n v="-5"/>
  </r>
  <r>
    <x v="157"/>
    <s v="Drink"/>
    <n v="5"/>
    <m/>
    <x v="1"/>
    <x v="1"/>
    <x v="1"/>
    <x v="5"/>
    <x v="3"/>
    <n v="-5"/>
  </r>
  <r>
    <x v="158"/>
    <s v="Green's"/>
    <n v="98"/>
    <m/>
    <x v="4"/>
    <x v="2"/>
    <x v="1"/>
    <x v="5"/>
    <x v="4"/>
    <n v="-98"/>
  </r>
  <r>
    <x v="159"/>
    <s v="Drink"/>
    <n v="5"/>
    <m/>
    <x v="1"/>
    <x v="1"/>
    <x v="1"/>
    <x v="5"/>
    <x v="5"/>
    <n v="-5"/>
  </r>
  <r>
    <x v="160"/>
    <s v="Drink"/>
    <n v="5"/>
    <m/>
    <x v="1"/>
    <x v="1"/>
    <x v="1"/>
    <x v="5"/>
    <x v="6"/>
    <n v="-5"/>
  </r>
  <r>
    <x v="161"/>
    <s v="Cinemas"/>
    <n v="42.8"/>
    <m/>
    <x v="6"/>
    <x v="4"/>
    <x v="1"/>
    <x v="5"/>
    <x v="0"/>
    <n v="-42.8"/>
  </r>
  <r>
    <x v="162"/>
    <s v="Fashionistas"/>
    <n v="100.9"/>
    <m/>
    <x v="7"/>
    <x v="4"/>
    <x v="1"/>
    <x v="5"/>
    <x v="1"/>
    <n v="-100.9"/>
  </r>
  <r>
    <x v="163"/>
    <s v="Burger"/>
    <n v="54.9"/>
    <m/>
    <x v="8"/>
    <x v="1"/>
    <x v="1"/>
    <x v="5"/>
    <x v="2"/>
    <n v="-54.9"/>
  </r>
  <r>
    <x v="164"/>
    <s v="Uba"/>
    <n v="31"/>
    <m/>
    <x v="9"/>
    <x v="3"/>
    <x v="1"/>
    <x v="5"/>
    <x v="3"/>
    <n v="-31"/>
  </r>
  <r>
    <x v="165"/>
    <s v="Onlne earning"/>
    <m/>
    <n v="2340"/>
    <x v="10"/>
    <x v="5"/>
    <x v="0"/>
    <x v="5"/>
    <x v="4"/>
    <n v="2340"/>
  </r>
  <r>
    <x v="166"/>
    <s v="Drink"/>
    <n v="5"/>
    <m/>
    <x v="1"/>
    <x v="1"/>
    <x v="1"/>
    <x v="5"/>
    <x v="5"/>
    <n v="-5"/>
  </r>
  <r>
    <x v="167"/>
    <s v="Drink"/>
    <n v="5"/>
    <m/>
    <x v="1"/>
    <x v="1"/>
    <x v="1"/>
    <x v="5"/>
    <x v="6"/>
    <n v="-5"/>
  </r>
  <r>
    <x v="168"/>
    <s v="Phone"/>
    <n v="40"/>
    <m/>
    <x v="12"/>
    <x v="2"/>
    <x v="1"/>
    <x v="5"/>
    <x v="0"/>
    <n v="-40"/>
  </r>
  <r>
    <x v="169"/>
    <s v="Sallah give away"/>
    <n v="47.9"/>
    <m/>
    <x v="13"/>
    <x v="4"/>
    <x v="1"/>
    <x v="5"/>
    <x v="1"/>
    <n v="-47.9"/>
  </r>
  <r>
    <x v="170"/>
    <s v="Online streaming"/>
    <n v="35"/>
    <m/>
    <x v="6"/>
    <x v="4"/>
    <x v="1"/>
    <x v="5"/>
    <x v="2"/>
    <n v="-35"/>
  </r>
  <r>
    <x v="171"/>
    <s v="Drink"/>
    <n v="5"/>
    <m/>
    <x v="1"/>
    <x v="1"/>
    <x v="1"/>
    <x v="5"/>
    <x v="3"/>
    <n v="-5"/>
  </r>
  <r>
    <x v="172"/>
    <s v="Drink"/>
    <n v="5"/>
    <m/>
    <x v="1"/>
    <x v="1"/>
    <x v="1"/>
    <x v="5"/>
    <x v="4"/>
    <n v="-5"/>
  </r>
  <r>
    <x v="173"/>
    <s v="Drink"/>
    <n v="5"/>
    <m/>
    <x v="1"/>
    <x v="1"/>
    <x v="1"/>
    <x v="5"/>
    <x v="5"/>
    <n v="-5"/>
  </r>
  <r>
    <x v="174"/>
    <s v="Green's"/>
    <n v="173"/>
    <m/>
    <x v="4"/>
    <x v="2"/>
    <x v="1"/>
    <x v="5"/>
    <x v="6"/>
    <n v="-173"/>
  </r>
  <r>
    <x v="175"/>
    <s v="Suya"/>
    <n v="40.1"/>
    <m/>
    <x v="8"/>
    <x v="1"/>
    <x v="1"/>
    <x v="5"/>
    <x v="0"/>
    <n v="-40.1"/>
  </r>
  <r>
    <x v="176"/>
    <s v="Oha soup/White soup"/>
    <n v="15.1"/>
    <m/>
    <x v="8"/>
    <x v="1"/>
    <x v="1"/>
    <x v="5"/>
    <x v="1"/>
    <n v="-15.1"/>
  </r>
  <r>
    <x v="177"/>
    <s v="Orphanage"/>
    <n v="55"/>
    <m/>
    <x v="14"/>
    <x v="6"/>
    <x v="1"/>
    <x v="5"/>
    <x v="2"/>
    <n v="-55"/>
  </r>
  <r>
    <x v="178"/>
    <s v="Fuel"/>
    <n v="66"/>
    <m/>
    <x v="15"/>
    <x v="3"/>
    <x v="1"/>
    <x v="6"/>
    <x v="3"/>
    <n v="-66"/>
  </r>
  <r>
    <x v="179"/>
    <s v="Drink"/>
    <n v="5"/>
    <m/>
    <x v="1"/>
    <x v="1"/>
    <x v="1"/>
    <x v="6"/>
    <x v="4"/>
    <n v="-5"/>
  </r>
  <r>
    <x v="180"/>
    <s v="Drink"/>
    <n v="5"/>
    <m/>
    <x v="1"/>
    <x v="1"/>
    <x v="1"/>
    <x v="6"/>
    <x v="5"/>
    <n v="-5"/>
  </r>
  <r>
    <x v="181"/>
    <s v="Drink"/>
    <n v="5"/>
    <m/>
    <x v="1"/>
    <x v="1"/>
    <x v="1"/>
    <x v="6"/>
    <x v="6"/>
    <n v="-5"/>
  </r>
  <r>
    <x v="182"/>
    <s v="Drink"/>
    <n v="5"/>
    <m/>
    <x v="1"/>
    <x v="1"/>
    <x v="1"/>
    <x v="6"/>
    <x v="0"/>
    <n v="-5"/>
  </r>
  <r>
    <x v="183"/>
    <s v="Drink"/>
    <n v="5"/>
    <m/>
    <x v="1"/>
    <x v="1"/>
    <x v="1"/>
    <x v="6"/>
    <x v="1"/>
    <n v="-5"/>
  </r>
  <r>
    <x v="184"/>
    <s v="Green's"/>
    <n v="164.9"/>
    <m/>
    <x v="4"/>
    <x v="2"/>
    <x v="1"/>
    <x v="6"/>
    <x v="2"/>
    <n v="-164.9"/>
  </r>
  <r>
    <x v="185"/>
    <s v="Trainers"/>
    <n v="127.9"/>
    <m/>
    <x v="7"/>
    <x v="4"/>
    <x v="1"/>
    <x v="6"/>
    <x v="3"/>
    <n v="-127.9"/>
  </r>
  <r>
    <x v="186"/>
    <s v="Clubing"/>
    <n v="300"/>
    <m/>
    <x v="6"/>
    <x v="4"/>
    <x v="1"/>
    <x v="6"/>
    <x v="4"/>
    <n v="-300"/>
  </r>
  <r>
    <x v="187"/>
    <s v="Fashionistas"/>
    <n v="148.1"/>
    <m/>
    <x v="7"/>
    <x v="4"/>
    <x v="1"/>
    <x v="6"/>
    <x v="5"/>
    <n v="-148.1"/>
  </r>
  <r>
    <x v="188"/>
    <s v="Uba"/>
    <n v="26.1"/>
    <m/>
    <x v="9"/>
    <x v="3"/>
    <x v="1"/>
    <x v="6"/>
    <x v="6"/>
    <n v="-26.1"/>
  </r>
  <r>
    <x v="189"/>
    <s v="Foodary"/>
    <n v="15"/>
    <m/>
    <x v="8"/>
    <x v="1"/>
    <x v="1"/>
    <x v="6"/>
    <x v="0"/>
    <n v="-15"/>
  </r>
  <r>
    <x v="190"/>
    <s v="Drink"/>
    <n v="5"/>
    <m/>
    <x v="1"/>
    <x v="1"/>
    <x v="1"/>
    <x v="6"/>
    <x v="1"/>
    <n v="-5"/>
  </r>
  <r>
    <x v="191"/>
    <s v="Drink"/>
    <n v="5"/>
    <m/>
    <x v="1"/>
    <x v="1"/>
    <x v="1"/>
    <x v="6"/>
    <x v="2"/>
    <n v="-5"/>
  </r>
  <r>
    <x v="192"/>
    <s v="Drink"/>
    <n v="5"/>
    <m/>
    <x v="1"/>
    <x v="1"/>
    <x v="1"/>
    <x v="6"/>
    <x v="3"/>
    <n v="-5"/>
  </r>
  <r>
    <x v="193"/>
    <s v="Data With Decision"/>
    <m/>
    <n v="5000"/>
    <x v="0"/>
    <x v="0"/>
    <x v="0"/>
    <x v="6"/>
    <x v="4"/>
    <n v="5000"/>
  </r>
  <r>
    <x v="194"/>
    <s v="Estate Mangement"/>
    <n v="900"/>
    <m/>
    <x v="2"/>
    <x v="2"/>
    <x v="1"/>
    <x v="6"/>
    <x v="5"/>
    <n v="-900"/>
  </r>
  <r>
    <x v="195"/>
    <s v="Financail upgrade"/>
    <n v="150"/>
    <m/>
    <x v="3"/>
    <x v="3"/>
    <x v="1"/>
    <x v="6"/>
    <x v="6"/>
    <n v="-150"/>
  </r>
  <r>
    <x v="196"/>
    <s v="Drink"/>
    <n v="5"/>
    <m/>
    <x v="1"/>
    <x v="1"/>
    <x v="1"/>
    <x v="6"/>
    <x v="0"/>
    <n v="-5"/>
  </r>
  <r>
    <x v="197"/>
    <s v="Drink"/>
    <n v="5"/>
    <m/>
    <x v="1"/>
    <x v="1"/>
    <x v="1"/>
    <x v="6"/>
    <x v="1"/>
    <n v="-5"/>
  </r>
  <r>
    <x v="198"/>
    <s v="Drink"/>
    <n v="5"/>
    <m/>
    <x v="1"/>
    <x v="1"/>
    <x v="1"/>
    <x v="6"/>
    <x v="2"/>
    <n v="-5"/>
  </r>
  <r>
    <x v="199"/>
    <s v="Drink"/>
    <n v="5"/>
    <m/>
    <x v="1"/>
    <x v="1"/>
    <x v="1"/>
    <x v="6"/>
    <x v="3"/>
    <n v="-5"/>
  </r>
  <r>
    <x v="200"/>
    <s v="Green's"/>
    <n v="170"/>
    <m/>
    <x v="4"/>
    <x v="2"/>
    <x v="1"/>
    <x v="6"/>
    <x v="4"/>
    <n v="-170"/>
  </r>
  <r>
    <x v="201"/>
    <s v="Power source"/>
    <n v="54.1"/>
    <m/>
    <x v="5"/>
    <x v="2"/>
    <x v="1"/>
    <x v="6"/>
    <x v="5"/>
    <n v="-54.1"/>
  </r>
  <r>
    <x v="202"/>
    <s v="Drink"/>
    <n v="5"/>
    <m/>
    <x v="1"/>
    <x v="1"/>
    <x v="1"/>
    <x v="6"/>
    <x v="6"/>
    <n v="-5"/>
  </r>
  <r>
    <x v="203"/>
    <s v="Drink"/>
    <n v="5"/>
    <m/>
    <x v="1"/>
    <x v="1"/>
    <x v="1"/>
    <x v="6"/>
    <x v="0"/>
    <n v="-5"/>
  </r>
  <r>
    <x v="204"/>
    <s v="Fuel"/>
    <n v="81"/>
    <m/>
    <x v="15"/>
    <x v="3"/>
    <x v="1"/>
    <x v="6"/>
    <x v="1"/>
    <n v="-81"/>
  </r>
  <r>
    <x v="205"/>
    <s v="Drink"/>
    <n v="5"/>
    <m/>
    <x v="1"/>
    <x v="1"/>
    <x v="1"/>
    <x v="6"/>
    <x v="2"/>
    <n v="-5"/>
  </r>
  <r>
    <x v="206"/>
    <s v="Drink"/>
    <n v="5"/>
    <m/>
    <x v="1"/>
    <x v="1"/>
    <x v="1"/>
    <x v="6"/>
    <x v="3"/>
    <n v="-5"/>
  </r>
  <r>
    <x v="207"/>
    <s v="Green's"/>
    <n v="139.1"/>
    <m/>
    <x v="4"/>
    <x v="2"/>
    <x v="1"/>
    <x v="6"/>
    <x v="4"/>
    <n v="-139.1"/>
  </r>
  <r>
    <x v="208"/>
    <s v="Drink"/>
    <n v="5"/>
    <m/>
    <x v="1"/>
    <x v="1"/>
    <x v="1"/>
    <x v="6"/>
    <x v="5"/>
    <n v="-5"/>
  </r>
  <r>
    <x v="209"/>
    <s v="Drink"/>
    <n v="5"/>
    <m/>
    <x v="1"/>
    <x v="1"/>
    <x v="1"/>
    <x v="7"/>
    <x v="6"/>
    <n v="-5"/>
  </r>
  <r>
    <x v="210"/>
    <s v="Cinemas"/>
    <n v="43.9"/>
    <m/>
    <x v="6"/>
    <x v="4"/>
    <x v="1"/>
    <x v="7"/>
    <x v="0"/>
    <n v="-43.9"/>
  </r>
  <r>
    <x v="211"/>
    <s v="Fashionistas"/>
    <n v="101.80000000000001"/>
    <m/>
    <x v="7"/>
    <x v="4"/>
    <x v="1"/>
    <x v="7"/>
    <x v="1"/>
    <n v="-101.80000000000001"/>
  </r>
  <r>
    <x v="212"/>
    <s v="Burger"/>
    <n v="55.9"/>
    <m/>
    <x v="8"/>
    <x v="1"/>
    <x v="1"/>
    <x v="7"/>
    <x v="2"/>
    <n v="-55.9"/>
  </r>
  <r>
    <x v="213"/>
    <s v="Uba"/>
    <n v="32"/>
    <m/>
    <x v="9"/>
    <x v="3"/>
    <x v="1"/>
    <x v="7"/>
    <x v="3"/>
    <n v="-32"/>
  </r>
  <r>
    <x v="214"/>
    <s v="Onlne earning"/>
    <m/>
    <n v="1000"/>
    <x v="10"/>
    <x v="5"/>
    <x v="0"/>
    <x v="7"/>
    <x v="4"/>
    <n v="1000"/>
  </r>
  <r>
    <x v="215"/>
    <s v="Drink"/>
    <n v="5"/>
    <m/>
    <x v="1"/>
    <x v="1"/>
    <x v="1"/>
    <x v="7"/>
    <x v="5"/>
    <n v="-5"/>
  </r>
  <r>
    <x v="216"/>
    <s v="Drink"/>
    <n v="5"/>
    <m/>
    <x v="1"/>
    <x v="1"/>
    <x v="1"/>
    <x v="7"/>
    <x v="6"/>
    <n v="-5"/>
  </r>
  <r>
    <x v="217"/>
    <s v="Taken medication"/>
    <n v="75"/>
    <m/>
    <x v="16"/>
    <x v="7"/>
    <x v="1"/>
    <x v="7"/>
    <x v="0"/>
    <n v="-75"/>
  </r>
  <r>
    <x v="218"/>
    <s v="Phone"/>
    <n v="40"/>
    <m/>
    <x v="12"/>
    <x v="2"/>
    <x v="1"/>
    <x v="7"/>
    <x v="1"/>
    <n v="-40"/>
  </r>
  <r>
    <x v="219"/>
    <s v="Sallah give away"/>
    <n v="49"/>
    <m/>
    <x v="13"/>
    <x v="4"/>
    <x v="1"/>
    <x v="7"/>
    <x v="2"/>
    <n v="-49"/>
  </r>
  <r>
    <x v="220"/>
    <s v="Online streaming"/>
    <n v="35"/>
    <m/>
    <x v="6"/>
    <x v="4"/>
    <x v="1"/>
    <x v="7"/>
    <x v="3"/>
    <n v="-35"/>
  </r>
  <r>
    <x v="221"/>
    <s v="Drink"/>
    <n v="5"/>
    <m/>
    <x v="1"/>
    <x v="1"/>
    <x v="1"/>
    <x v="7"/>
    <x v="4"/>
    <n v="-5"/>
  </r>
  <r>
    <x v="222"/>
    <s v="Drink"/>
    <n v="5"/>
    <m/>
    <x v="1"/>
    <x v="1"/>
    <x v="1"/>
    <x v="7"/>
    <x v="5"/>
    <n v="-5"/>
  </r>
  <r>
    <x v="223"/>
    <s v="Drink"/>
    <n v="5"/>
    <m/>
    <x v="1"/>
    <x v="1"/>
    <x v="1"/>
    <x v="7"/>
    <x v="6"/>
    <n v="-5"/>
  </r>
  <r>
    <x v="224"/>
    <s v="Green's"/>
    <n v="174"/>
    <m/>
    <x v="4"/>
    <x v="2"/>
    <x v="1"/>
    <x v="7"/>
    <x v="0"/>
    <n v="-174"/>
  </r>
  <r>
    <x v="225"/>
    <s v="Suya"/>
    <n v="41.1"/>
    <m/>
    <x v="8"/>
    <x v="1"/>
    <x v="1"/>
    <x v="7"/>
    <x v="1"/>
    <n v="-41.1"/>
  </r>
  <r>
    <x v="226"/>
    <s v="Oha soup/White soup"/>
    <n v="16.2"/>
    <m/>
    <x v="8"/>
    <x v="1"/>
    <x v="1"/>
    <x v="7"/>
    <x v="2"/>
    <n v="-16.2"/>
  </r>
  <r>
    <x v="227"/>
    <s v="Orphanage"/>
    <n v="55"/>
    <m/>
    <x v="14"/>
    <x v="6"/>
    <x v="1"/>
    <x v="7"/>
    <x v="3"/>
    <n v="-55"/>
  </r>
  <r>
    <x v="228"/>
    <s v="Fuel"/>
    <n v="67"/>
    <m/>
    <x v="15"/>
    <x v="3"/>
    <x v="1"/>
    <x v="7"/>
    <x v="4"/>
    <n v="-67"/>
  </r>
  <r>
    <x v="229"/>
    <s v="Drink"/>
    <n v="5"/>
    <m/>
    <x v="1"/>
    <x v="1"/>
    <x v="1"/>
    <x v="7"/>
    <x v="5"/>
    <n v="-5"/>
  </r>
  <r>
    <x v="230"/>
    <s v="Drink"/>
    <n v="5"/>
    <m/>
    <x v="1"/>
    <x v="1"/>
    <x v="1"/>
    <x v="7"/>
    <x v="6"/>
    <n v="-5"/>
  </r>
  <r>
    <x v="231"/>
    <s v="Drink"/>
    <n v="5"/>
    <m/>
    <x v="1"/>
    <x v="1"/>
    <x v="1"/>
    <x v="7"/>
    <x v="0"/>
    <n v="-5"/>
  </r>
  <r>
    <x v="232"/>
    <s v="Drink"/>
    <n v="5"/>
    <m/>
    <x v="1"/>
    <x v="1"/>
    <x v="1"/>
    <x v="7"/>
    <x v="1"/>
    <n v="-5"/>
  </r>
  <r>
    <x v="233"/>
    <s v="Drink"/>
    <n v="5"/>
    <m/>
    <x v="1"/>
    <x v="1"/>
    <x v="1"/>
    <x v="7"/>
    <x v="2"/>
    <n v="-5"/>
  </r>
  <r>
    <x v="234"/>
    <s v="Green's"/>
    <n v="165.8"/>
    <m/>
    <x v="4"/>
    <x v="2"/>
    <x v="1"/>
    <x v="7"/>
    <x v="3"/>
    <n v="-165.8"/>
  </r>
  <r>
    <x v="235"/>
    <s v="Trainers"/>
    <n v="128.80000000000001"/>
    <m/>
    <x v="7"/>
    <x v="4"/>
    <x v="1"/>
    <x v="7"/>
    <x v="4"/>
    <n v="-128.80000000000001"/>
  </r>
  <r>
    <x v="236"/>
    <s v="Home décor"/>
    <n v="235"/>
    <m/>
    <x v="17"/>
    <x v="4"/>
    <x v="1"/>
    <x v="7"/>
    <x v="5"/>
    <n v="-235"/>
  </r>
  <r>
    <x v="237"/>
    <s v="Fashionistas"/>
    <n v="149.19999999999999"/>
    <m/>
    <x v="7"/>
    <x v="4"/>
    <x v="1"/>
    <x v="7"/>
    <x v="6"/>
    <n v="-149.19999999999999"/>
  </r>
  <r>
    <x v="238"/>
    <s v="Uba"/>
    <n v="27.200000000000003"/>
    <m/>
    <x v="9"/>
    <x v="3"/>
    <x v="1"/>
    <x v="7"/>
    <x v="0"/>
    <n v="-27.200000000000003"/>
  </r>
  <r>
    <x v="239"/>
    <s v="Foodary"/>
    <n v="15"/>
    <m/>
    <x v="8"/>
    <x v="1"/>
    <x v="1"/>
    <x v="7"/>
    <x v="1"/>
    <n v="-15"/>
  </r>
  <r>
    <x v="240"/>
    <s v="Drink"/>
    <n v="5"/>
    <m/>
    <x v="1"/>
    <x v="1"/>
    <x v="1"/>
    <x v="8"/>
    <x v="2"/>
    <n v="-5"/>
  </r>
  <r>
    <x v="241"/>
    <s v="Drink"/>
    <n v="5"/>
    <m/>
    <x v="1"/>
    <x v="1"/>
    <x v="1"/>
    <x v="8"/>
    <x v="3"/>
    <n v="-5"/>
  </r>
  <r>
    <x v="242"/>
    <s v="Data With Decision"/>
    <m/>
    <n v="5000"/>
    <x v="0"/>
    <x v="0"/>
    <x v="0"/>
    <x v="8"/>
    <x v="4"/>
    <n v="5000"/>
  </r>
  <r>
    <x v="243"/>
    <s v="Drink"/>
    <n v="5"/>
    <m/>
    <x v="1"/>
    <x v="1"/>
    <x v="1"/>
    <x v="8"/>
    <x v="5"/>
    <n v="-5"/>
  </r>
  <r>
    <x v="244"/>
    <s v="Estate Mangement"/>
    <n v="900"/>
    <m/>
    <x v="2"/>
    <x v="2"/>
    <x v="1"/>
    <x v="8"/>
    <x v="6"/>
    <n v="-900"/>
  </r>
  <r>
    <x v="245"/>
    <s v="Financail upgrade"/>
    <n v="150"/>
    <m/>
    <x v="3"/>
    <x v="3"/>
    <x v="1"/>
    <x v="8"/>
    <x v="0"/>
    <n v="-150"/>
  </r>
  <r>
    <x v="246"/>
    <s v="Drink"/>
    <n v="5"/>
    <m/>
    <x v="1"/>
    <x v="1"/>
    <x v="1"/>
    <x v="8"/>
    <x v="1"/>
    <n v="-5"/>
  </r>
  <r>
    <x v="247"/>
    <s v="Drink"/>
    <n v="5"/>
    <m/>
    <x v="1"/>
    <x v="1"/>
    <x v="1"/>
    <x v="8"/>
    <x v="2"/>
    <n v="-5"/>
  </r>
  <r>
    <x v="248"/>
    <s v="Drink"/>
    <n v="5"/>
    <m/>
    <x v="1"/>
    <x v="1"/>
    <x v="1"/>
    <x v="8"/>
    <x v="3"/>
    <n v="-5"/>
  </r>
  <r>
    <x v="249"/>
    <s v="Drink"/>
    <n v="5"/>
    <m/>
    <x v="1"/>
    <x v="1"/>
    <x v="1"/>
    <x v="8"/>
    <x v="4"/>
    <n v="-5"/>
  </r>
  <r>
    <x v="250"/>
    <s v="Green's"/>
    <n v="119"/>
    <m/>
    <x v="4"/>
    <x v="2"/>
    <x v="1"/>
    <x v="8"/>
    <x v="5"/>
    <n v="-119"/>
  </r>
  <r>
    <x v="251"/>
    <s v="Power source"/>
    <n v="55"/>
    <m/>
    <x v="5"/>
    <x v="2"/>
    <x v="1"/>
    <x v="8"/>
    <x v="6"/>
    <n v="-55"/>
  </r>
  <r>
    <x v="252"/>
    <s v="Drink"/>
    <n v="5"/>
    <m/>
    <x v="1"/>
    <x v="1"/>
    <x v="1"/>
    <x v="8"/>
    <x v="0"/>
    <n v="-5"/>
  </r>
  <r>
    <x v="253"/>
    <s v="Drink"/>
    <n v="5"/>
    <m/>
    <x v="1"/>
    <x v="1"/>
    <x v="1"/>
    <x v="8"/>
    <x v="1"/>
    <n v="-5"/>
  </r>
  <r>
    <x v="254"/>
    <s v="Fuel"/>
    <n v="82.1"/>
    <m/>
    <x v="15"/>
    <x v="3"/>
    <x v="1"/>
    <x v="8"/>
    <x v="2"/>
    <n v="-82.1"/>
  </r>
  <r>
    <x v="255"/>
    <s v="Drink"/>
    <n v="5"/>
    <m/>
    <x v="1"/>
    <x v="1"/>
    <x v="1"/>
    <x v="8"/>
    <x v="3"/>
    <n v="-5"/>
  </r>
  <r>
    <x v="256"/>
    <s v="Drink"/>
    <n v="5"/>
    <m/>
    <x v="1"/>
    <x v="1"/>
    <x v="1"/>
    <x v="8"/>
    <x v="4"/>
    <n v="-5"/>
  </r>
  <r>
    <x v="257"/>
    <s v="Green's"/>
    <n v="140.19999999999999"/>
    <m/>
    <x v="4"/>
    <x v="2"/>
    <x v="1"/>
    <x v="8"/>
    <x v="5"/>
    <n v="-140.19999999999999"/>
  </r>
  <r>
    <x v="258"/>
    <s v="Drink"/>
    <n v="5"/>
    <m/>
    <x v="1"/>
    <x v="1"/>
    <x v="1"/>
    <x v="8"/>
    <x v="6"/>
    <n v="-5"/>
  </r>
  <r>
    <x v="259"/>
    <s v="Drink"/>
    <n v="5"/>
    <m/>
    <x v="1"/>
    <x v="1"/>
    <x v="1"/>
    <x v="8"/>
    <x v="0"/>
    <n v="-5"/>
  </r>
  <r>
    <x v="260"/>
    <s v="Cinemas"/>
    <n v="44.9"/>
    <m/>
    <x v="6"/>
    <x v="4"/>
    <x v="1"/>
    <x v="8"/>
    <x v="1"/>
    <n v="-44.9"/>
  </r>
  <r>
    <x v="261"/>
    <s v="Fashionistas"/>
    <n v="102.9"/>
    <m/>
    <x v="7"/>
    <x v="4"/>
    <x v="1"/>
    <x v="8"/>
    <x v="2"/>
    <n v="-102.9"/>
  </r>
  <r>
    <x v="262"/>
    <s v="Burger"/>
    <n v="56.9"/>
    <m/>
    <x v="8"/>
    <x v="1"/>
    <x v="1"/>
    <x v="8"/>
    <x v="3"/>
    <n v="-56.9"/>
  </r>
  <r>
    <x v="263"/>
    <s v="Uba"/>
    <n v="33.1"/>
    <m/>
    <x v="9"/>
    <x v="3"/>
    <x v="1"/>
    <x v="8"/>
    <x v="4"/>
    <n v="-33.1"/>
  </r>
  <r>
    <x v="264"/>
    <s v="Onlne earning"/>
    <m/>
    <n v="100"/>
    <x v="10"/>
    <x v="5"/>
    <x v="0"/>
    <x v="8"/>
    <x v="5"/>
    <n v="100"/>
  </r>
  <r>
    <x v="265"/>
    <s v="Drink"/>
    <n v="5"/>
    <m/>
    <x v="1"/>
    <x v="1"/>
    <x v="1"/>
    <x v="8"/>
    <x v="6"/>
    <n v="-5"/>
  </r>
  <r>
    <x v="266"/>
    <s v="Drink"/>
    <n v="5"/>
    <m/>
    <x v="1"/>
    <x v="1"/>
    <x v="1"/>
    <x v="8"/>
    <x v="0"/>
    <n v="-5"/>
  </r>
  <r>
    <x v="267"/>
    <s v="Phone"/>
    <n v="40"/>
    <m/>
    <x v="12"/>
    <x v="2"/>
    <x v="1"/>
    <x v="8"/>
    <x v="1"/>
    <n v="-40"/>
  </r>
  <r>
    <x v="268"/>
    <s v="Sallah give away"/>
    <n v="50.1"/>
    <m/>
    <x v="13"/>
    <x v="4"/>
    <x v="1"/>
    <x v="8"/>
    <x v="2"/>
    <n v="-50.1"/>
  </r>
  <r>
    <x v="269"/>
    <s v="Online streaming"/>
    <n v="35"/>
    <m/>
    <x v="6"/>
    <x v="4"/>
    <x v="1"/>
    <x v="8"/>
    <x v="3"/>
    <n v="-35"/>
  </r>
  <r>
    <x v="270"/>
    <s v="Drink"/>
    <n v="5"/>
    <m/>
    <x v="1"/>
    <x v="1"/>
    <x v="1"/>
    <x v="9"/>
    <x v="4"/>
    <n v="-5"/>
  </r>
  <r>
    <x v="271"/>
    <s v="Drink"/>
    <n v="5"/>
    <m/>
    <x v="1"/>
    <x v="1"/>
    <x v="1"/>
    <x v="9"/>
    <x v="5"/>
    <n v="-5"/>
  </r>
  <r>
    <x v="272"/>
    <s v="Drink"/>
    <n v="5"/>
    <m/>
    <x v="1"/>
    <x v="1"/>
    <x v="1"/>
    <x v="9"/>
    <x v="6"/>
    <n v="-5"/>
  </r>
  <r>
    <x v="273"/>
    <s v="Green's"/>
    <n v="234"/>
    <m/>
    <x v="4"/>
    <x v="2"/>
    <x v="1"/>
    <x v="9"/>
    <x v="0"/>
    <n v="-234"/>
  </r>
  <r>
    <x v="274"/>
    <s v="Suya"/>
    <n v="42.1"/>
    <m/>
    <x v="8"/>
    <x v="1"/>
    <x v="1"/>
    <x v="9"/>
    <x v="1"/>
    <n v="-42.1"/>
  </r>
  <r>
    <x v="275"/>
    <s v="Oha soup/White soup"/>
    <n v="17.099999999999998"/>
    <m/>
    <x v="8"/>
    <x v="1"/>
    <x v="1"/>
    <x v="9"/>
    <x v="2"/>
    <n v="-17.099999999999998"/>
  </r>
  <r>
    <x v="276"/>
    <s v="Orphanage"/>
    <n v="55"/>
    <m/>
    <x v="14"/>
    <x v="6"/>
    <x v="1"/>
    <x v="9"/>
    <x v="3"/>
    <n v="-55"/>
  </r>
  <r>
    <x v="277"/>
    <s v="Fuel"/>
    <n v="67.900000000000006"/>
    <m/>
    <x v="15"/>
    <x v="3"/>
    <x v="1"/>
    <x v="9"/>
    <x v="4"/>
    <n v="-67.900000000000006"/>
  </r>
  <r>
    <x v="278"/>
    <s v="Drink"/>
    <n v="5"/>
    <m/>
    <x v="1"/>
    <x v="1"/>
    <x v="1"/>
    <x v="9"/>
    <x v="5"/>
    <n v="-5"/>
  </r>
  <r>
    <x v="279"/>
    <s v="Drink"/>
    <n v="5"/>
    <m/>
    <x v="1"/>
    <x v="1"/>
    <x v="1"/>
    <x v="9"/>
    <x v="6"/>
    <n v="-5"/>
  </r>
  <r>
    <x v="280"/>
    <s v="Drink"/>
    <n v="5"/>
    <m/>
    <x v="1"/>
    <x v="1"/>
    <x v="1"/>
    <x v="9"/>
    <x v="0"/>
    <n v="-5"/>
  </r>
  <r>
    <x v="281"/>
    <s v="Drink"/>
    <n v="5"/>
    <m/>
    <x v="1"/>
    <x v="1"/>
    <x v="1"/>
    <x v="9"/>
    <x v="1"/>
    <n v="-5"/>
  </r>
  <r>
    <x v="282"/>
    <s v="Drink"/>
    <n v="5"/>
    <m/>
    <x v="1"/>
    <x v="1"/>
    <x v="1"/>
    <x v="9"/>
    <x v="2"/>
    <n v="-5"/>
  </r>
  <r>
    <x v="283"/>
    <s v="Green's"/>
    <n v="166.9"/>
    <m/>
    <x v="4"/>
    <x v="2"/>
    <x v="1"/>
    <x v="9"/>
    <x v="3"/>
    <n v="-166.9"/>
  </r>
  <r>
    <x v="284"/>
    <s v="Trainers"/>
    <n v="129.9"/>
    <m/>
    <x v="7"/>
    <x v="4"/>
    <x v="1"/>
    <x v="9"/>
    <x v="4"/>
    <n v="-129.9"/>
  </r>
  <r>
    <x v="285"/>
    <s v="Hangingout/Ticket"/>
    <n v="180.29999999999998"/>
    <m/>
    <x v="6"/>
    <x v="4"/>
    <x v="1"/>
    <x v="9"/>
    <x v="5"/>
    <n v="-180.29999999999998"/>
  </r>
  <r>
    <x v="286"/>
    <s v="Fashionistas"/>
    <n v="150.1"/>
    <m/>
    <x v="7"/>
    <x v="4"/>
    <x v="1"/>
    <x v="9"/>
    <x v="6"/>
    <n v="-150.1"/>
  </r>
  <r>
    <x v="287"/>
    <s v="Uba"/>
    <n v="28.200000000000003"/>
    <m/>
    <x v="9"/>
    <x v="3"/>
    <x v="1"/>
    <x v="9"/>
    <x v="0"/>
    <n v="-28.200000000000003"/>
  </r>
  <r>
    <x v="288"/>
    <s v="Foodary"/>
    <n v="15"/>
    <m/>
    <x v="8"/>
    <x v="1"/>
    <x v="1"/>
    <x v="9"/>
    <x v="1"/>
    <n v="-15"/>
  </r>
  <r>
    <x v="289"/>
    <s v="Drink"/>
    <n v="5"/>
    <m/>
    <x v="1"/>
    <x v="1"/>
    <x v="1"/>
    <x v="9"/>
    <x v="2"/>
    <n v="-5"/>
  </r>
  <r>
    <x v="290"/>
    <s v="Drink"/>
    <n v="5"/>
    <m/>
    <x v="1"/>
    <x v="1"/>
    <x v="1"/>
    <x v="9"/>
    <x v="3"/>
    <n v="-5"/>
  </r>
  <r>
    <x v="291"/>
    <s v="Data With Decision"/>
    <m/>
    <n v="5000"/>
    <x v="0"/>
    <x v="0"/>
    <x v="0"/>
    <x v="9"/>
    <x v="4"/>
    <n v="5000"/>
  </r>
  <r>
    <x v="292"/>
    <s v="Drink"/>
    <n v="5"/>
    <m/>
    <x v="1"/>
    <x v="1"/>
    <x v="1"/>
    <x v="9"/>
    <x v="5"/>
    <n v="-5"/>
  </r>
  <r>
    <x v="293"/>
    <s v="Estate Mangement"/>
    <n v="900"/>
    <m/>
    <x v="2"/>
    <x v="2"/>
    <x v="1"/>
    <x v="9"/>
    <x v="6"/>
    <n v="-900"/>
  </r>
  <r>
    <x v="294"/>
    <s v="Financail upgrade"/>
    <n v="150"/>
    <m/>
    <x v="3"/>
    <x v="3"/>
    <x v="1"/>
    <x v="9"/>
    <x v="0"/>
    <n v="-150"/>
  </r>
  <r>
    <x v="295"/>
    <s v="Feedings"/>
    <n v="15"/>
    <m/>
    <x v="8"/>
    <x v="1"/>
    <x v="1"/>
    <x v="9"/>
    <x v="1"/>
    <n v="-15"/>
  </r>
  <r>
    <x v="296"/>
    <s v="Drink"/>
    <n v="5"/>
    <m/>
    <x v="1"/>
    <x v="1"/>
    <x v="1"/>
    <x v="9"/>
    <x v="2"/>
    <n v="-5"/>
  </r>
  <r>
    <x v="297"/>
    <s v="Drink"/>
    <n v="5"/>
    <m/>
    <x v="1"/>
    <x v="1"/>
    <x v="1"/>
    <x v="9"/>
    <x v="3"/>
    <n v="-5"/>
  </r>
  <r>
    <x v="298"/>
    <s v="Drink"/>
    <n v="5"/>
    <m/>
    <x v="1"/>
    <x v="1"/>
    <x v="1"/>
    <x v="9"/>
    <x v="4"/>
    <n v="-5"/>
  </r>
  <r>
    <x v="299"/>
    <s v="Green's"/>
    <n v="180"/>
    <m/>
    <x v="4"/>
    <x v="2"/>
    <x v="1"/>
    <x v="9"/>
    <x v="5"/>
    <n v="-180"/>
  </r>
  <r>
    <x v="300"/>
    <s v="Power source"/>
    <n v="56.1"/>
    <m/>
    <x v="5"/>
    <x v="2"/>
    <x v="1"/>
    <x v="9"/>
    <x v="6"/>
    <n v="-56.1"/>
  </r>
  <r>
    <x v="301"/>
    <s v="Drink"/>
    <n v="5"/>
    <m/>
    <x v="1"/>
    <x v="1"/>
    <x v="1"/>
    <x v="10"/>
    <x v="0"/>
    <n v="-5"/>
  </r>
  <r>
    <x v="302"/>
    <s v="Drink"/>
    <n v="5"/>
    <m/>
    <x v="1"/>
    <x v="1"/>
    <x v="1"/>
    <x v="10"/>
    <x v="1"/>
    <n v="-5"/>
  </r>
  <r>
    <x v="303"/>
    <s v="Fuel"/>
    <n v="83.1"/>
    <m/>
    <x v="15"/>
    <x v="3"/>
    <x v="1"/>
    <x v="10"/>
    <x v="2"/>
    <n v="-83.1"/>
  </r>
  <r>
    <x v="304"/>
    <s v="Drink"/>
    <n v="5"/>
    <m/>
    <x v="1"/>
    <x v="1"/>
    <x v="1"/>
    <x v="10"/>
    <x v="3"/>
    <n v="-5"/>
  </r>
  <r>
    <x v="305"/>
    <s v="Drink"/>
    <n v="5"/>
    <m/>
    <x v="1"/>
    <x v="1"/>
    <x v="1"/>
    <x v="10"/>
    <x v="4"/>
    <n v="-5"/>
  </r>
  <r>
    <x v="306"/>
    <s v="Green's"/>
    <n v="141.1"/>
    <m/>
    <x v="4"/>
    <x v="2"/>
    <x v="1"/>
    <x v="10"/>
    <x v="5"/>
    <n v="-141.1"/>
  </r>
  <r>
    <x v="307"/>
    <s v="Drink"/>
    <n v="5"/>
    <m/>
    <x v="1"/>
    <x v="1"/>
    <x v="1"/>
    <x v="10"/>
    <x v="6"/>
    <n v="-5"/>
  </r>
  <r>
    <x v="308"/>
    <s v="Drink"/>
    <n v="5"/>
    <m/>
    <x v="1"/>
    <x v="1"/>
    <x v="1"/>
    <x v="10"/>
    <x v="0"/>
    <n v="-5"/>
  </r>
  <r>
    <x v="309"/>
    <s v="Cinemas"/>
    <n v="45.8"/>
    <m/>
    <x v="6"/>
    <x v="4"/>
    <x v="1"/>
    <x v="10"/>
    <x v="1"/>
    <n v="-45.8"/>
  </r>
  <r>
    <x v="310"/>
    <s v="Fashionistas"/>
    <n v="103.80000000000001"/>
    <m/>
    <x v="7"/>
    <x v="4"/>
    <x v="1"/>
    <x v="10"/>
    <x v="2"/>
    <n v="-103.80000000000001"/>
  </r>
  <r>
    <x v="311"/>
    <s v="Burger"/>
    <n v="58"/>
    <m/>
    <x v="8"/>
    <x v="1"/>
    <x v="1"/>
    <x v="10"/>
    <x v="3"/>
    <n v="-58"/>
  </r>
  <r>
    <x v="312"/>
    <s v="Uba"/>
    <n v="34.200000000000003"/>
    <m/>
    <x v="9"/>
    <x v="3"/>
    <x v="1"/>
    <x v="10"/>
    <x v="4"/>
    <n v="-34.200000000000003"/>
  </r>
  <r>
    <x v="313"/>
    <s v="Onlne earning"/>
    <m/>
    <n v="200"/>
    <x v="10"/>
    <x v="5"/>
    <x v="0"/>
    <x v="10"/>
    <x v="5"/>
    <n v="200"/>
  </r>
  <r>
    <x v="314"/>
    <s v="Drink"/>
    <n v="5"/>
    <m/>
    <x v="1"/>
    <x v="1"/>
    <x v="1"/>
    <x v="10"/>
    <x v="6"/>
    <n v="-5"/>
  </r>
  <r>
    <x v="315"/>
    <s v="Drink"/>
    <n v="5"/>
    <m/>
    <x v="1"/>
    <x v="1"/>
    <x v="1"/>
    <x v="10"/>
    <x v="0"/>
    <n v="-5"/>
  </r>
  <r>
    <x v="316"/>
    <s v="Phone"/>
    <n v="40"/>
    <m/>
    <x v="12"/>
    <x v="2"/>
    <x v="1"/>
    <x v="10"/>
    <x v="1"/>
    <n v="-40"/>
  </r>
  <r>
    <x v="317"/>
    <s v="Sallah give away"/>
    <n v="51.1"/>
    <m/>
    <x v="13"/>
    <x v="4"/>
    <x v="1"/>
    <x v="10"/>
    <x v="2"/>
    <n v="-51.1"/>
  </r>
  <r>
    <x v="318"/>
    <s v="Online streaming"/>
    <n v="35"/>
    <m/>
    <x v="6"/>
    <x v="4"/>
    <x v="1"/>
    <x v="10"/>
    <x v="3"/>
    <n v="-35"/>
  </r>
  <r>
    <x v="319"/>
    <s v="Drink"/>
    <n v="5"/>
    <m/>
    <x v="1"/>
    <x v="1"/>
    <x v="1"/>
    <x v="10"/>
    <x v="4"/>
    <n v="-5"/>
  </r>
  <r>
    <x v="320"/>
    <s v="Drink"/>
    <n v="5"/>
    <m/>
    <x v="1"/>
    <x v="1"/>
    <x v="1"/>
    <x v="10"/>
    <x v="5"/>
    <n v="-5"/>
  </r>
  <r>
    <x v="321"/>
    <s v="Drink"/>
    <n v="5"/>
    <m/>
    <x v="1"/>
    <x v="1"/>
    <x v="1"/>
    <x v="10"/>
    <x v="6"/>
    <n v="-5"/>
  </r>
  <r>
    <x v="322"/>
    <s v="Green's"/>
    <n v="176"/>
    <m/>
    <x v="4"/>
    <x v="2"/>
    <x v="1"/>
    <x v="10"/>
    <x v="0"/>
    <n v="-176"/>
  </r>
  <r>
    <x v="323"/>
    <s v="Suya"/>
    <n v="43.1"/>
    <m/>
    <x v="8"/>
    <x v="1"/>
    <x v="1"/>
    <x v="10"/>
    <x v="1"/>
    <n v="-43.1"/>
  </r>
  <r>
    <x v="324"/>
    <s v="Oha soup/White soup"/>
    <n v="18.2"/>
    <m/>
    <x v="8"/>
    <x v="1"/>
    <x v="1"/>
    <x v="10"/>
    <x v="2"/>
    <n v="-18.2"/>
  </r>
  <r>
    <x v="325"/>
    <s v="Orphanage"/>
    <n v="55"/>
    <m/>
    <x v="14"/>
    <x v="6"/>
    <x v="1"/>
    <x v="10"/>
    <x v="3"/>
    <n v="-55"/>
  </r>
  <r>
    <x v="326"/>
    <s v="Fuel"/>
    <n v="68.800000000000011"/>
    <m/>
    <x v="15"/>
    <x v="3"/>
    <x v="1"/>
    <x v="10"/>
    <x v="4"/>
    <n v="-68.800000000000011"/>
  </r>
  <r>
    <x v="327"/>
    <s v="Drink"/>
    <n v="5"/>
    <m/>
    <x v="1"/>
    <x v="1"/>
    <x v="1"/>
    <x v="10"/>
    <x v="5"/>
    <n v="-5"/>
  </r>
  <r>
    <x v="328"/>
    <s v="Drink"/>
    <n v="5"/>
    <m/>
    <x v="1"/>
    <x v="1"/>
    <x v="1"/>
    <x v="10"/>
    <x v="6"/>
    <n v="-5"/>
  </r>
  <r>
    <x v="329"/>
    <s v="Drink"/>
    <n v="5"/>
    <m/>
    <x v="1"/>
    <x v="1"/>
    <x v="1"/>
    <x v="10"/>
    <x v="0"/>
    <n v="-5"/>
  </r>
  <r>
    <x v="330"/>
    <s v="Drink"/>
    <n v="5"/>
    <m/>
    <x v="1"/>
    <x v="1"/>
    <x v="1"/>
    <x v="10"/>
    <x v="1"/>
    <n v="-5"/>
  </r>
  <r>
    <x v="331"/>
    <s v="Drink"/>
    <n v="5"/>
    <m/>
    <x v="1"/>
    <x v="1"/>
    <x v="1"/>
    <x v="11"/>
    <x v="2"/>
    <n v="-5"/>
  </r>
  <r>
    <x v="332"/>
    <s v="Green's"/>
    <n v="193"/>
    <m/>
    <x v="4"/>
    <x v="2"/>
    <x v="1"/>
    <x v="11"/>
    <x v="3"/>
    <n v="-193"/>
  </r>
  <r>
    <x v="333"/>
    <s v="Trainers"/>
    <n v="130.80000000000001"/>
    <m/>
    <x v="7"/>
    <x v="4"/>
    <x v="1"/>
    <x v="11"/>
    <x v="4"/>
    <n v="-130.80000000000001"/>
  </r>
  <r>
    <x v="334"/>
    <s v="Home décor"/>
    <n v="181.39999999999998"/>
    <m/>
    <x v="17"/>
    <x v="4"/>
    <x v="1"/>
    <x v="11"/>
    <x v="5"/>
    <n v="-181.39999999999998"/>
  </r>
  <r>
    <x v="335"/>
    <s v="Fashionistas"/>
    <n v="151.19999999999999"/>
    <m/>
    <x v="7"/>
    <x v="4"/>
    <x v="1"/>
    <x v="11"/>
    <x v="6"/>
    <n v="-151.19999999999999"/>
  </r>
  <r>
    <x v="336"/>
    <s v="Uba"/>
    <n v="29.300000000000004"/>
    <m/>
    <x v="9"/>
    <x v="3"/>
    <x v="1"/>
    <x v="11"/>
    <x v="0"/>
    <n v="-29.300000000000004"/>
  </r>
  <r>
    <x v="337"/>
    <s v="Foodary"/>
    <n v="15"/>
    <m/>
    <x v="8"/>
    <x v="1"/>
    <x v="1"/>
    <x v="11"/>
    <x v="1"/>
    <n v="-15"/>
  </r>
  <r>
    <x v="338"/>
    <s v="Drink"/>
    <n v="5"/>
    <m/>
    <x v="1"/>
    <x v="1"/>
    <x v="1"/>
    <x v="11"/>
    <x v="2"/>
    <n v="-5"/>
  </r>
  <r>
    <x v="339"/>
    <s v="Drink"/>
    <n v="5"/>
    <m/>
    <x v="1"/>
    <x v="1"/>
    <x v="1"/>
    <x v="11"/>
    <x v="3"/>
    <n v="-5"/>
  </r>
  <r>
    <x v="340"/>
    <s v="Data With Decision"/>
    <m/>
    <n v="5000"/>
    <x v="0"/>
    <x v="0"/>
    <x v="0"/>
    <x v="11"/>
    <x v="4"/>
    <n v="5000"/>
  </r>
  <r>
    <x v="341"/>
    <s v="Drink"/>
    <n v="5"/>
    <m/>
    <x v="1"/>
    <x v="1"/>
    <x v="1"/>
    <x v="11"/>
    <x v="5"/>
    <n v="-5"/>
  </r>
  <r>
    <x v="342"/>
    <s v="Estate Mangement"/>
    <n v="900"/>
    <m/>
    <x v="2"/>
    <x v="2"/>
    <x v="1"/>
    <x v="11"/>
    <x v="6"/>
    <n v="-900"/>
  </r>
  <r>
    <x v="343"/>
    <s v="Financail upgrade"/>
    <n v="150"/>
    <m/>
    <x v="3"/>
    <x v="3"/>
    <x v="1"/>
    <x v="11"/>
    <x v="0"/>
    <n v="-150"/>
  </r>
  <r>
    <x v="344"/>
    <s v="Drink"/>
    <n v="5"/>
    <m/>
    <x v="1"/>
    <x v="1"/>
    <x v="1"/>
    <x v="11"/>
    <x v="1"/>
    <n v="-5"/>
  </r>
  <r>
    <x v="345"/>
    <s v="Drink"/>
    <n v="5"/>
    <m/>
    <x v="1"/>
    <x v="1"/>
    <x v="1"/>
    <x v="11"/>
    <x v="2"/>
    <n v="-5"/>
  </r>
  <r>
    <x v="346"/>
    <s v="Drink"/>
    <n v="5"/>
    <m/>
    <x v="1"/>
    <x v="1"/>
    <x v="1"/>
    <x v="11"/>
    <x v="3"/>
    <n v="-5"/>
  </r>
  <r>
    <x v="347"/>
    <s v="Drink"/>
    <n v="5"/>
    <m/>
    <x v="1"/>
    <x v="1"/>
    <x v="1"/>
    <x v="11"/>
    <x v="4"/>
    <n v="-5"/>
  </r>
  <r>
    <x v="348"/>
    <s v="Green's"/>
    <n v="137"/>
    <m/>
    <x v="4"/>
    <x v="2"/>
    <x v="1"/>
    <x v="11"/>
    <x v="5"/>
    <n v="-137"/>
  </r>
  <r>
    <x v="349"/>
    <s v="Power source"/>
    <n v="57"/>
    <m/>
    <x v="5"/>
    <x v="2"/>
    <x v="1"/>
    <x v="11"/>
    <x v="6"/>
    <n v="-57"/>
  </r>
  <r>
    <x v="350"/>
    <s v="Drink"/>
    <n v="5"/>
    <m/>
    <x v="1"/>
    <x v="1"/>
    <x v="1"/>
    <x v="11"/>
    <x v="0"/>
    <n v="-5"/>
  </r>
  <r>
    <x v="351"/>
    <s v="Drink"/>
    <n v="5"/>
    <m/>
    <x v="1"/>
    <x v="1"/>
    <x v="1"/>
    <x v="11"/>
    <x v="1"/>
    <n v="-5"/>
  </r>
  <r>
    <x v="352"/>
    <s v="Fuel"/>
    <n v="84.199999999999989"/>
    <m/>
    <x v="15"/>
    <x v="3"/>
    <x v="1"/>
    <x v="11"/>
    <x v="2"/>
    <n v="-84.199999999999989"/>
  </r>
  <r>
    <x v="353"/>
    <s v="Drink"/>
    <n v="5"/>
    <m/>
    <x v="1"/>
    <x v="1"/>
    <x v="1"/>
    <x v="11"/>
    <x v="3"/>
    <n v="-5"/>
  </r>
  <r>
    <x v="354"/>
    <s v="Drink"/>
    <n v="5"/>
    <m/>
    <x v="1"/>
    <x v="1"/>
    <x v="1"/>
    <x v="11"/>
    <x v="4"/>
    <n v="-5"/>
  </r>
  <r>
    <x v="355"/>
    <s v="Green's"/>
    <n v="142.1"/>
    <m/>
    <x v="4"/>
    <x v="2"/>
    <x v="1"/>
    <x v="11"/>
    <x v="5"/>
    <n v="-142.1"/>
  </r>
  <r>
    <x v="356"/>
    <s v="Drink"/>
    <n v="5"/>
    <m/>
    <x v="1"/>
    <x v="1"/>
    <x v="1"/>
    <x v="11"/>
    <x v="6"/>
    <n v="-5"/>
  </r>
  <r>
    <x v="357"/>
    <s v="Drink"/>
    <n v="5"/>
    <m/>
    <x v="1"/>
    <x v="1"/>
    <x v="1"/>
    <x v="11"/>
    <x v="0"/>
    <n v="-5"/>
  </r>
  <r>
    <x v="358"/>
    <s v="Cinemas"/>
    <n v="46.8"/>
    <m/>
    <x v="6"/>
    <x v="4"/>
    <x v="1"/>
    <x v="11"/>
    <x v="1"/>
    <n v="-46.8"/>
  </r>
  <r>
    <x v="359"/>
    <s v="Fashionistas"/>
    <n v="104.70000000000002"/>
    <m/>
    <x v="7"/>
    <x v="4"/>
    <x v="1"/>
    <x v="11"/>
    <x v="2"/>
    <n v="-104.70000000000002"/>
  </r>
  <r>
    <x v="360"/>
    <s v="Burger"/>
    <n v="59.1"/>
    <m/>
    <x v="8"/>
    <x v="1"/>
    <x v="1"/>
    <x v="11"/>
    <x v="3"/>
    <n v="-59.1"/>
  </r>
  <r>
    <x v="361"/>
    <s v="Uba"/>
    <n v="35.1"/>
    <m/>
    <x v="9"/>
    <x v="3"/>
    <x v="1"/>
    <x v="11"/>
    <x v="4"/>
    <n v="-35.1"/>
  </r>
  <r>
    <x v="362"/>
    <s v="Onlne earning"/>
    <m/>
    <n v="800"/>
    <x v="10"/>
    <x v="5"/>
    <x v="0"/>
    <x v="0"/>
    <x v="5"/>
    <n v="800"/>
  </r>
  <r>
    <x v="363"/>
    <s v="Drink"/>
    <n v="5"/>
    <m/>
    <x v="1"/>
    <x v="1"/>
    <x v="1"/>
    <x v="0"/>
    <x v="6"/>
    <n v="-5"/>
  </r>
  <r>
    <x v="364"/>
    <s v="Drink"/>
    <n v="5"/>
    <m/>
    <x v="1"/>
    <x v="1"/>
    <x v="1"/>
    <x v="0"/>
    <x v="0"/>
    <n v="-5"/>
  </r>
  <r>
    <x v="365"/>
    <s v="Phone"/>
    <n v="40"/>
    <m/>
    <x v="12"/>
    <x v="2"/>
    <x v="1"/>
    <x v="0"/>
    <x v="1"/>
    <n v="-40"/>
  </r>
  <r>
    <x v="366"/>
    <s v="Sallah give away"/>
    <n v="52.1"/>
    <m/>
    <x v="13"/>
    <x v="4"/>
    <x v="1"/>
    <x v="0"/>
    <x v="2"/>
    <n v="-52.1"/>
  </r>
  <r>
    <x v="367"/>
    <s v="Online streaming"/>
    <n v="35"/>
    <m/>
    <x v="6"/>
    <x v="4"/>
    <x v="1"/>
    <x v="0"/>
    <x v="3"/>
    <n v="-35"/>
  </r>
  <r>
    <x v="368"/>
    <s v="Drink"/>
    <n v="5"/>
    <m/>
    <x v="1"/>
    <x v="1"/>
    <x v="1"/>
    <x v="0"/>
    <x v="4"/>
    <n v="-5"/>
  </r>
  <r>
    <x v="369"/>
    <s v="Drink"/>
    <n v="5"/>
    <m/>
    <x v="1"/>
    <x v="1"/>
    <x v="1"/>
    <x v="0"/>
    <x v="5"/>
    <n v="-5"/>
  </r>
  <r>
    <x v="370"/>
    <s v="Drink"/>
    <n v="5"/>
    <m/>
    <x v="1"/>
    <x v="1"/>
    <x v="1"/>
    <x v="0"/>
    <x v="6"/>
    <n v="-5"/>
  </r>
  <r>
    <x v="371"/>
    <s v="Green's"/>
    <n v="177"/>
    <m/>
    <x v="4"/>
    <x v="2"/>
    <x v="1"/>
    <x v="0"/>
    <x v="0"/>
    <n v="-177"/>
  </r>
  <r>
    <x v="372"/>
    <s v="Suya"/>
    <n v="44.2"/>
    <m/>
    <x v="8"/>
    <x v="1"/>
    <x v="1"/>
    <x v="0"/>
    <x v="1"/>
    <n v="-44.2"/>
  </r>
  <r>
    <x v="373"/>
    <s v="Oha soup/White soup"/>
    <n v="19.2"/>
    <m/>
    <x v="8"/>
    <x v="1"/>
    <x v="1"/>
    <x v="0"/>
    <x v="2"/>
    <n v="-19.2"/>
  </r>
  <r>
    <x v="374"/>
    <s v="Orphanage"/>
    <n v="55"/>
    <m/>
    <x v="14"/>
    <x v="6"/>
    <x v="1"/>
    <x v="0"/>
    <x v="3"/>
    <n v="-55"/>
  </r>
  <r>
    <x v="375"/>
    <s v="Fuel"/>
    <n v="69.700000000000017"/>
    <m/>
    <x v="15"/>
    <x v="3"/>
    <x v="1"/>
    <x v="0"/>
    <x v="4"/>
    <n v="-69.700000000000017"/>
  </r>
  <r>
    <x v="376"/>
    <s v="Drink"/>
    <n v="5"/>
    <m/>
    <x v="1"/>
    <x v="1"/>
    <x v="1"/>
    <x v="0"/>
    <x v="5"/>
    <n v="-5"/>
  </r>
  <r>
    <x v="377"/>
    <s v="Drink"/>
    <n v="5"/>
    <m/>
    <x v="1"/>
    <x v="1"/>
    <x v="1"/>
    <x v="0"/>
    <x v="6"/>
    <n v="-5"/>
  </r>
  <r>
    <x v="378"/>
    <s v="Drink"/>
    <n v="5"/>
    <m/>
    <x v="1"/>
    <x v="1"/>
    <x v="1"/>
    <x v="0"/>
    <x v="0"/>
    <n v="-5"/>
  </r>
  <r>
    <x v="379"/>
    <s v="Drink"/>
    <n v="5"/>
    <m/>
    <x v="1"/>
    <x v="1"/>
    <x v="1"/>
    <x v="0"/>
    <x v="1"/>
    <n v="-5"/>
  </r>
  <r>
    <x v="380"/>
    <s v="Drink"/>
    <n v="5"/>
    <m/>
    <x v="1"/>
    <x v="1"/>
    <x v="1"/>
    <x v="0"/>
    <x v="2"/>
    <n v="-5"/>
  </r>
  <r>
    <x v="381"/>
    <s v="Green's"/>
    <n v="117"/>
    <m/>
    <x v="4"/>
    <x v="2"/>
    <x v="1"/>
    <x v="0"/>
    <x v="3"/>
    <n v="-117"/>
  </r>
  <r>
    <x v="382"/>
    <s v="Trainers"/>
    <n v="131.9"/>
    <m/>
    <x v="7"/>
    <x v="4"/>
    <x v="1"/>
    <x v="0"/>
    <x v="4"/>
    <n v="-131.9"/>
  </r>
  <r>
    <x v="383"/>
    <s v="Hangingout/Ticket"/>
    <n v="182.39999999999998"/>
    <m/>
    <x v="6"/>
    <x v="4"/>
    <x v="1"/>
    <x v="0"/>
    <x v="5"/>
    <n v="-182.39999999999998"/>
  </r>
  <r>
    <x v="384"/>
    <s v="Fashionistas"/>
    <n v="152.29999999999998"/>
    <m/>
    <x v="7"/>
    <x v="4"/>
    <x v="1"/>
    <x v="0"/>
    <x v="6"/>
    <n v="-152.29999999999998"/>
  </r>
  <r>
    <x v="385"/>
    <s v="Uba"/>
    <n v="30.300000000000004"/>
    <m/>
    <x v="9"/>
    <x v="3"/>
    <x v="1"/>
    <x v="0"/>
    <x v="0"/>
    <n v="-30.300000000000004"/>
  </r>
  <r>
    <x v="386"/>
    <s v="Foodary"/>
    <n v="15"/>
    <m/>
    <x v="8"/>
    <x v="1"/>
    <x v="1"/>
    <x v="0"/>
    <x v="1"/>
    <n v="-15"/>
  </r>
  <r>
    <x v="387"/>
    <s v="Drink"/>
    <n v="5"/>
    <m/>
    <x v="1"/>
    <x v="1"/>
    <x v="1"/>
    <x v="0"/>
    <x v="2"/>
    <n v="-5"/>
  </r>
  <r>
    <x v="388"/>
    <s v="Drink"/>
    <n v="5"/>
    <m/>
    <x v="1"/>
    <x v="1"/>
    <x v="1"/>
    <x v="0"/>
    <x v="3"/>
    <n v="-5"/>
  </r>
  <r>
    <x v="389"/>
    <s v="Data With Decision"/>
    <m/>
    <n v="5000"/>
    <x v="0"/>
    <x v="0"/>
    <x v="0"/>
    <x v="0"/>
    <x v="4"/>
    <n v="5000"/>
  </r>
  <r>
    <x v="390"/>
    <s v="Drink"/>
    <n v="5"/>
    <m/>
    <x v="1"/>
    <x v="1"/>
    <x v="1"/>
    <x v="0"/>
    <x v="5"/>
    <n v="-5"/>
  </r>
  <r>
    <x v="391"/>
    <s v="Estate Mangement"/>
    <n v="900"/>
    <m/>
    <x v="2"/>
    <x v="2"/>
    <x v="1"/>
    <x v="0"/>
    <x v="6"/>
    <n v="-900"/>
  </r>
  <r>
    <x v="392"/>
    <s v="Financail upgrade"/>
    <n v="150"/>
    <m/>
    <x v="3"/>
    <x v="3"/>
    <x v="1"/>
    <x v="0"/>
    <x v="0"/>
    <n v="-150"/>
  </r>
  <r>
    <x v="393"/>
    <s v="Drink"/>
    <n v="5"/>
    <m/>
    <x v="1"/>
    <x v="1"/>
    <x v="1"/>
    <x v="1"/>
    <x v="1"/>
    <n v="-5"/>
  </r>
  <r>
    <x v="394"/>
    <s v="Drink"/>
    <n v="5"/>
    <m/>
    <x v="1"/>
    <x v="1"/>
    <x v="1"/>
    <x v="1"/>
    <x v="2"/>
    <n v="-5"/>
  </r>
  <r>
    <x v="395"/>
    <s v="Drink"/>
    <n v="5"/>
    <m/>
    <x v="1"/>
    <x v="1"/>
    <x v="1"/>
    <x v="1"/>
    <x v="3"/>
    <n v="-5"/>
  </r>
  <r>
    <x v="396"/>
    <s v="Drink"/>
    <n v="5"/>
    <m/>
    <x v="1"/>
    <x v="1"/>
    <x v="1"/>
    <x v="1"/>
    <x v="4"/>
    <n v="-5"/>
  </r>
  <r>
    <x v="397"/>
    <s v="Green's"/>
    <n v="163.39999999999998"/>
    <m/>
    <x v="4"/>
    <x v="2"/>
    <x v="1"/>
    <x v="1"/>
    <x v="5"/>
    <n v="-163.39999999999998"/>
  </r>
  <r>
    <x v="398"/>
    <s v="Power source"/>
    <n v="58.1"/>
    <m/>
    <x v="5"/>
    <x v="2"/>
    <x v="1"/>
    <x v="1"/>
    <x v="6"/>
    <n v="-58.1"/>
  </r>
  <r>
    <x v="399"/>
    <s v="Drink"/>
    <n v="5"/>
    <m/>
    <x v="1"/>
    <x v="1"/>
    <x v="1"/>
    <x v="1"/>
    <x v="0"/>
    <n v="-5"/>
  </r>
  <r>
    <x v="400"/>
    <s v="Drink"/>
    <n v="5"/>
    <m/>
    <x v="1"/>
    <x v="1"/>
    <x v="1"/>
    <x v="1"/>
    <x v="1"/>
    <n v="-5"/>
  </r>
  <r>
    <x v="401"/>
    <s v="Fuel"/>
    <n v="85.299999999999983"/>
    <m/>
    <x v="15"/>
    <x v="3"/>
    <x v="1"/>
    <x v="1"/>
    <x v="2"/>
    <n v="-85.299999999999983"/>
  </r>
  <r>
    <x v="402"/>
    <s v="Drink"/>
    <n v="5"/>
    <m/>
    <x v="1"/>
    <x v="1"/>
    <x v="1"/>
    <x v="1"/>
    <x v="3"/>
    <n v="-5"/>
  </r>
  <r>
    <x v="403"/>
    <s v="Drink"/>
    <n v="5"/>
    <m/>
    <x v="1"/>
    <x v="1"/>
    <x v="1"/>
    <x v="1"/>
    <x v="4"/>
    <n v="-5"/>
  </r>
  <r>
    <x v="404"/>
    <s v="Green's"/>
    <n v="143"/>
    <m/>
    <x v="4"/>
    <x v="2"/>
    <x v="1"/>
    <x v="1"/>
    <x v="5"/>
    <n v="-143"/>
  </r>
  <r>
    <x v="405"/>
    <s v="Drink"/>
    <n v="5"/>
    <m/>
    <x v="1"/>
    <x v="1"/>
    <x v="1"/>
    <x v="1"/>
    <x v="6"/>
    <n v="-5"/>
  </r>
  <r>
    <x v="406"/>
    <s v="Drink"/>
    <n v="5"/>
    <m/>
    <x v="1"/>
    <x v="1"/>
    <x v="1"/>
    <x v="1"/>
    <x v="0"/>
    <n v="-5"/>
  </r>
  <r>
    <x v="407"/>
    <s v="Cinemas"/>
    <n v="47.8"/>
    <m/>
    <x v="6"/>
    <x v="4"/>
    <x v="1"/>
    <x v="1"/>
    <x v="1"/>
    <n v="-47.8"/>
  </r>
  <r>
    <x v="408"/>
    <s v="Fashionistas"/>
    <n v="105.80000000000001"/>
    <m/>
    <x v="7"/>
    <x v="4"/>
    <x v="1"/>
    <x v="1"/>
    <x v="2"/>
    <n v="-105.80000000000001"/>
  </r>
  <r>
    <x v="409"/>
    <s v="Burger"/>
    <n v="60.1"/>
    <m/>
    <x v="8"/>
    <x v="1"/>
    <x v="1"/>
    <x v="1"/>
    <x v="3"/>
    <n v="-60.1"/>
  </r>
  <r>
    <x v="410"/>
    <s v="Uba"/>
    <n v="36.200000000000003"/>
    <m/>
    <x v="9"/>
    <x v="3"/>
    <x v="1"/>
    <x v="1"/>
    <x v="4"/>
    <n v="-36.200000000000003"/>
  </r>
  <r>
    <x v="411"/>
    <s v="Onlne earning"/>
    <m/>
    <n v="100"/>
    <x v="10"/>
    <x v="5"/>
    <x v="0"/>
    <x v="1"/>
    <x v="5"/>
    <n v="100"/>
  </r>
  <r>
    <x v="412"/>
    <s v="Drink"/>
    <n v="5"/>
    <m/>
    <x v="1"/>
    <x v="1"/>
    <x v="1"/>
    <x v="1"/>
    <x v="6"/>
    <n v="-5"/>
  </r>
  <r>
    <x v="413"/>
    <s v="Drink"/>
    <n v="5"/>
    <m/>
    <x v="1"/>
    <x v="1"/>
    <x v="1"/>
    <x v="1"/>
    <x v="0"/>
    <n v="-5"/>
  </r>
  <r>
    <x v="414"/>
    <s v="Phone"/>
    <n v="40"/>
    <m/>
    <x v="12"/>
    <x v="2"/>
    <x v="1"/>
    <x v="1"/>
    <x v="1"/>
    <n v="-40"/>
  </r>
  <r>
    <x v="415"/>
    <s v="Sallah give away"/>
    <n v="53"/>
    <m/>
    <x v="13"/>
    <x v="4"/>
    <x v="1"/>
    <x v="1"/>
    <x v="2"/>
    <n v="-53"/>
  </r>
  <r>
    <x v="416"/>
    <s v="Online streaming"/>
    <n v="35"/>
    <m/>
    <x v="6"/>
    <x v="4"/>
    <x v="1"/>
    <x v="1"/>
    <x v="3"/>
    <n v="-35"/>
  </r>
  <r>
    <x v="417"/>
    <s v="Drink"/>
    <n v="5"/>
    <m/>
    <x v="1"/>
    <x v="1"/>
    <x v="1"/>
    <x v="1"/>
    <x v="4"/>
    <n v="-5"/>
  </r>
  <r>
    <x v="418"/>
    <s v="Drink"/>
    <n v="5"/>
    <m/>
    <x v="1"/>
    <x v="1"/>
    <x v="1"/>
    <x v="1"/>
    <x v="5"/>
    <n v="-5"/>
  </r>
  <r>
    <x v="419"/>
    <s v="Drink"/>
    <n v="5"/>
    <m/>
    <x v="1"/>
    <x v="1"/>
    <x v="1"/>
    <x v="1"/>
    <x v="6"/>
    <n v="-5"/>
  </r>
  <r>
    <x v="420"/>
    <s v="Green's"/>
    <n v="177.9"/>
    <m/>
    <x v="4"/>
    <x v="2"/>
    <x v="1"/>
    <x v="1"/>
    <x v="0"/>
    <n v="-177.9"/>
  </r>
  <r>
    <x v="421"/>
    <s v="Suya"/>
    <n v="45.300000000000004"/>
    <m/>
    <x v="8"/>
    <x v="1"/>
    <x v="1"/>
    <x v="2"/>
    <x v="1"/>
    <n v="-45.300000000000004"/>
  </r>
  <r>
    <x v="422"/>
    <s v="Oha soup/White soup"/>
    <n v="20.099999999999998"/>
    <m/>
    <x v="8"/>
    <x v="1"/>
    <x v="1"/>
    <x v="2"/>
    <x v="2"/>
    <n v="-20.099999999999998"/>
  </r>
  <r>
    <x v="423"/>
    <s v="Orphanage"/>
    <n v="55"/>
    <m/>
    <x v="14"/>
    <x v="6"/>
    <x v="1"/>
    <x v="2"/>
    <x v="3"/>
    <n v="-55"/>
  </r>
  <r>
    <x v="424"/>
    <s v="Fuel"/>
    <n v="70.600000000000023"/>
    <m/>
    <x v="15"/>
    <x v="3"/>
    <x v="1"/>
    <x v="2"/>
    <x v="4"/>
    <n v="-70.600000000000023"/>
  </r>
  <r>
    <x v="425"/>
    <s v="Drink"/>
    <n v="5"/>
    <m/>
    <x v="1"/>
    <x v="1"/>
    <x v="1"/>
    <x v="2"/>
    <x v="5"/>
    <n v="-5"/>
  </r>
  <r>
    <x v="426"/>
    <s v="Drink"/>
    <n v="5"/>
    <m/>
    <x v="1"/>
    <x v="1"/>
    <x v="1"/>
    <x v="2"/>
    <x v="6"/>
    <n v="-5"/>
  </r>
  <r>
    <x v="427"/>
    <s v="Drink"/>
    <n v="5"/>
    <m/>
    <x v="1"/>
    <x v="1"/>
    <x v="1"/>
    <x v="2"/>
    <x v="0"/>
    <n v="-5"/>
  </r>
  <r>
    <x v="428"/>
    <s v="Drink"/>
    <n v="5"/>
    <m/>
    <x v="1"/>
    <x v="1"/>
    <x v="1"/>
    <x v="2"/>
    <x v="1"/>
    <n v="-5"/>
  </r>
  <r>
    <x v="429"/>
    <s v="Drink"/>
    <n v="5"/>
    <m/>
    <x v="1"/>
    <x v="1"/>
    <x v="1"/>
    <x v="2"/>
    <x v="2"/>
    <n v="-5"/>
  </r>
  <r>
    <x v="430"/>
    <s v="Green's"/>
    <n v="223"/>
    <m/>
    <x v="4"/>
    <x v="2"/>
    <x v="1"/>
    <x v="2"/>
    <x v="3"/>
    <n v="-223"/>
  </r>
  <r>
    <x v="431"/>
    <s v="Trainers"/>
    <n v="132.9"/>
    <m/>
    <x v="7"/>
    <x v="4"/>
    <x v="1"/>
    <x v="2"/>
    <x v="4"/>
    <n v="-132.9"/>
  </r>
  <r>
    <x v="432"/>
    <s v="Global Fashion"/>
    <n v="175"/>
    <m/>
    <x v="7"/>
    <x v="4"/>
    <x v="1"/>
    <x v="2"/>
    <x v="5"/>
    <n v="-175"/>
  </r>
  <r>
    <x v="433"/>
    <s v="Fashionistas"/>
    <n v="153.39999999999998"/>
    <m/>
    <x v="7"/>
    <x v="4"/>
    <x v="1"/>
    <x v="2"/>
    <x v="6"/>
    <n v="-153.39999999999998"/>
  </r>
  <r>
    <x v="434"/>
    <s v="Uba"/>
    <n v="31.200000000000003"/>
    <m/>
    <x v="9"/>
    <x v="3"/>
    <x v="1"/>
    <x v="2"/>
    <x v="0"/>
    <n v="-31.200000000000003"/>
  </r>
  <r>
    <x v="435"/>
    <s v="Foodary"/>
    <n v="15"/>
    <m/>
    <x v="8"/>
    <x v="1"/>
    <x v="1"/>
    <x v="2"/>
    <x v="1"/>
    <n v="-15"/>
  </r>
  <r>
    <x v="436"/>
    <s v="Drink"/>
    <n v="5"/>
    <m/>
    <x v="1"/>
    <x v="1"/>
    <x v="1"/>
    <x v="2"/>
    <x v="2"/>
    <n v="-5"/>
  </r>
  <r>
    <x v="437"/>
    <s v="Drink"/>
    <n v="5"/>
    <m/>
    <x v="1"/>
    <x v="1"/>
    <x v="1"/>
    <x v="2"/>
    <x v="3"/>
    <n v="-5"/>
  </r>
  <r>
    <x v="438"/>
    <s v="Data With Decision"/>
    <m/>
    <n v="5000"/>
    <x v="0"/>
    <x v="0"/>
    <x v="0"/>
    <x v="2"/>
    <x v="4"/>
    <n v="5000"/>
  </r>
  <r>
    <x v="439"/>
    <s v="Drink"/>
    <n v="5"/>
    <m/>
    <x v="1"/>
    <x v="1"/>
    <x v="1"/>
    <x v="2"/>
    <x v="5"/>
    <n v="-5"/>
  </r>
  <r>
    <x v="440"/>
    <s v="Estate Mangement"/>
    <n v="900"/>
    <m/>
    <x v="2"/>
    <x v="2"/>
    <x v="1"/>
    <x v="2"/>
    <x v="6"/>
    <n v="-900"/>
  </r>
  <r>
    <x v="441"/>
    <s v="Financail upgrade"/>
    <n v="150"/>
    <m/>
    <x v="3"/>
    <x v="3"/>
    <x v="1"/>
    <x v="2"/>
    <x v="0"/>
    <n v="-150"/>
  </r>
  <r>
    <x v="442"/>
    <s v="Drink"/>
    <n v="5"/>
    <m/>
    <x v="1"/>
    <x v="1"/>
    <x v="1"/>
    <x v="2"/>
    <x v="1"/>
    <n v="-5"/>
  </r>
  <r>
    <x v="443"/>
    <s v="Drink"/>
    <n v="5"/>
    <m/>
    <x v="1"/>
    <x v="1"/>
    <x v="1"/>
    <x v="2"/>
    <x v="2"/>
    <n v="-5"/>
  </r>
  <r>
    <x v="444"/>
    <s v="Drink"/>
    <n v="5"/>
    <m/>
    <x v="1"/>
    <x v="1"/>
    <x v="1"/>
    <x v="2"/>
    <x v="3"/>
    <n v="-5"/>
  </r>
  <r>
    <x v="445"/>
    <s v="Drink"/>
    <n v="5"/>
    <m/>
    <x v="1"/>
    <x v="1"/>
    <x v="1"/>
    <x v="2"/>
    <x v="4"/>
    <n v="-5"/>
  </r>
  <r>
    <x v="446"/>
    <s v="Green's"/>
    <n v="105"/>
    <m/>
    <x v="4"/>
    <x v="2"/>
    <x v="1"/>
    <x v="2"/>
    <x v="5"/>
    <n v="-105"/>
  </r>
  <r>
    <x v="447"/>
    <s v="Power source"/>
    <n v="59"/>
    <m/>
    <x v="5"/>
    <x v="2"/>
    <x v="1"/>
    <x v="2"/>
    <x v="6"/>
    <n v="-59"/>
  </r>
  <r>
    <x v="448"/>
    <s v="Drink"/>
    <n v="5"/>
    <m/>
    <x v="1"/>
    <x v="1"/>
    <x v="1"/>
    <x v="2"/>
    <x v="0"/>
    <n v="-5"/>
  </r>
  <r>
    <x v="449"/>
    <s v="Drink"/>
    <n v="5"/>
    <m/>
    <x v="1"/>
    <x v="1"/>
    <x v="1"/>
    <x v="2"/>
    <x v="1"/>
    <n v="-5"/>
  </r>
  <r>
    <x v="450"/>
    <s v="Fuel"/>
    <n v="86.399999999999977"/>
    <m/>
    <x v="15"/>
    <x v="3"/>
    <x v="1"/>
    <x v="2"/>
    <x v="2"/>
    <n v="-86.399999999999977"/>
  </r>
  <r>
    <x v="451"/>
    <s v="Drink"/>
    <n v="5"/>
    <m/>
    <x v="1"/>
    <x v="1"/>
    <x v="1"/>
    <x v="2"/>
    <x v="3"/>
    <n v="-5"/>
  </r>
  <r>
    <x v="452"/>
    <s v="Drink"/>
    <n v="5"/>
    <m/>
    <x v="1"/>
    <x v="1"/>
    <x v="1"/>
    <x v="3"/>
    <x v="4"/>
    <n v="-5"/>
  </r>
  <r>
    <x v="453"/>
    <s v="Green's"/>
    <n v="143.9"/>
    <m/>
    <x v="4"/>
    <x v="2"/>
    <x v="1"/>
    <x v="3"/>
    <x v="5"/>
    <n v="-143.9"/>
  </r>
  <r>
    <x v="454"/>
    <s v="Drink"/>
    <n v="5"/>
    <m/>
    <x v="1"/>
    <x v="1"/>
    <x v="1"/>
    <x v="3"/>
    <x v="6"/>
    <n v="-5"/>
  </r>
  <r>
    <x v="455"/>
    <s v="Drink"/>
    <n v="5"/>
    <m/>
    <x v="1"/>
    <x v="1"/>
    <x v="1"/>
    <x v="3"/>
    <x v="0"/>
    <n v="-5"/>
  </r>
  <r>
    <x v="456"/>
    <s v="Cinemas"/>
    <n v="48.8"/>
    <m/>
    <x v="6"/>
    <x v="4"/>
    <x v="1"/>
    <x v="3"/>
    <x v="1"/>
    <n v="-48.8"/>
  </r>
  <r>
    <x v="457"/>
    <s v="Fashionistas"/>
    <n v="106.70000000000002"/>
    <m/>
    <x v="7"/>
    <x v="4"/>
    <x v="1"/>
    <x v="3"/>
    <x v="2"/>
    <n v="-106.70000000000002"/>
  </r>
  <r>
    <x v="458"/>
    <s v="Burger"/>
    <n v="61.1"/>
    <m/>
    <x v="8"/>
    <x v="1"/>
    <x v="1"/>
    <x v="3"/>
    <x v="3"/>
    <n v="-61.1"/>
  </r>
  <r>
    <x v="459"/>
    <s v="Uba"/>
    <n v="37.200000000000003"/>
    <m/>
    <x v="9"/>
    <x v="3"/>
    <x v="1"/>
    <x v="3"/>
    <x v="4"/>
    <n v="-37.200000000000003"/>
  </r>
  <r>
    <x v="460"/>
    <s v="Onlne earning"/>
    <m/>
    <n v="100"/>
    <x v="10"/>
    <x v="5"/>
    <x v="0"/>
    <x v="3"/>
    <x v="5"/>
    <n v="100"/>
  </r>
  <r>
    <x v="461"/>
    <s v="Drink"/>
    <n v="5"/>
    <m/>
    <x v="1"/>
    <x v="1"/>
    <x v="1"/>
    <x v="3"/>
    <x v="6"/>
    <n v="-5"/>
  </r>
  <r>
    <x v="462"/>
    <s v="Drink"/>
    <n v="5"/>
    <m/>
    <x v="1"/>
    <x v="1"/>
    <x v="1"/>
    <x v="3"/>
    <x v="0"/>
    <n v="-5"/>
  </r>
  <r>
    <x v="463"/>
    <s v="Taken medication"/>
    <n v="75"/>
    <m/>
    <x v="16"/>
    <x v="7"/>
    <x v="1"/>
    <x v="3"/>
    <x v="1"/>
    <n v="-75"/>
  </r>
  <r>
    <x v="464"/>
    <s v="Phone"/>
    <n v="40"/>
    <m/>
    <x v="12"/>
    <x v="2"/>
    <x v="1"/>
    <x v="3"/>
    <x v="2"/>
    <n v="-40"/>
  </r>
  <r>
    <x v="465"/>
    <s v="Sallah give away"/>
    <n v="54.1"/>
    <m/>
    <x v="13"/>
    <x v="4"/>
    <x v="1"/>
    <x v="3"/>
    <x v="3"/>
    <n v="-54.1"/>
  </r>
  <r>
    <x v="466"/>
    <s v="Online streaming"/>
    <n v="35"/>
    <m/>
    <x v="6"/>
    <x v="4"/>
    <x v="1"/>
    <x v="3"/>
    <x v="4"/>
    <n v="-35"/>
  </r>
  <r>
    <x v="467"/>
    <s v="Drink"/>
    <n v="5"/>
    <m/>
    <x v="1"/>
    <x v="1"/>
    <x v="1"/>
    <x v="3"/>
    <x v="5"/>
    <n v="-5"/>
  </r>
  <r>
    <x v="468"/>
    <s v="Drink"/>
    <n v="5"/>
    <m/>
    <x v="1"/>
    <x v="1"/>
    <x v="1"/>
    <x v="3"/>
    <x v="6"/>
    <n v="-5"/>
  </r>
  <r>
    <x v="469"/>
    <s v="Drink"/>
    <n v="5"/>
    <m/>
    <x v="1"/>
    <x v="1"/>
    <x v="1"/>
    <x v="3"/>
    <x v="0"/>
    <n v="-5"/>
  </r>
  <r>
    <x v="470"/>
    <s v="Green's"/>
    <n v="178.9"/>
    <m/>
    <x v="4"/>
    <x v="2"/>
    <x v="1"/>
    <x v="3"/>
    <x v="1"/>
    <n v="-178.9"/>
  </r>
  <r>
    <x v="471"/>
    <s v="Suya"/>
    <n v="46.2"/>
    <m/>
    <x v="8"/>
    <x v="1"/>
    <x v="1"/>
    <x v="3"/>
    <x v="2"/>
    <n v="-46.2"/>
  </r>
  <r>
    <x v="472"/>
    <s v="Oha soup/White soup"/>
    <n v="21.099999999999998"/>
    <m/>
    <x v="8"/>
    <x v="1"/>
    <x v="1"/>
    <x v="3"/>
    <x v="3"/>
    <n v="-21.099999999999998"/>
  </r>
  <r>
    <x v="473"/>
    <s v="Orphanage"/>
    <n v="55"/>
    <m/>
    <x v="14"/>
    <x v="6"/>
    <x v="1"/>
    <x v="3"/>
    <x v="4"/>
    <n v="-55"/>
  </r>
  <r>
    <x v="474"/>
    <s v="Fuel"/>
    <n v="71.500000000000028"/>
    <m/>
    <x v="15"/>
    <x v="3"/>
    <x v="1"/>
    <x v="3"/>
    <x v="5"/>
    <n v="-71.500000000000028"/>
  </r>
  <r>
    <x v="475"/>
    <s v="Drink"/>
    <n v="5"/>
    <m/>
    <x v="1"/>
    <x v="1"/>
    <x v="1"/>
    <x v="3"/>
    <x v="6"/>
    <n v="-5"/>
  </r>
  <r>
    <x v="476"/>
    <s v="Drink"/>
    <n v="5"/>
    <m/>
    <x v="1"/>
    <x v="1"/>
    <x v="1"/>
    <x v="3"/>
    <x v="0"/>
    <n v="-5"/>
  </r>
  <r>
    <x v="477"/>
    <s v="Drink"/>
    <n v="5"/>
    <m/>
    <x v="1"/>
    <x v="1"/>
    <x v="1"/>
    <x v="3"/>
    <x v="1"/>
    <n v="-5"/>
  </r>
  <r>
    <x v="478"/>
    <s v="Drink"/>
    <n v="5"/>
    <m/>
    <x v="1"/>
    <x v="1"/>
    <x v="1"/>
    <x v="3"/>
    <x v="2"/>
    <n v="-5"/>
  </r>
  <r>
    <x v="479"/>
    <s v="Drink"/>
    <n v="5"/>
    <m/>
    <x v="1"/>
    <x v="1"/>
    <x v="1"/>
    <x v="3"/>
    <x v="3"/>
    <n v="-5"/>
  </r>
  <r>
    <x v="480"/>
    <s v="Green's"/>
    <n v="189"/>
    <m/>
    <x v="4"/>
    <x v="2"/>
    <x v="1"/>
    <x v="3"/>
    <x v="4"/>
    <n v="-189"/>
  </r>
  <r>
    <x v="481"/>
    <s v="Trainers"/>
    <n v="133.80000000000001"/>
    <m/>
    <x v="7"/>
    <x v="4"/>
    <x v="1"/>
    <x v="3"/>
    <x v="5"/>
    <n v="-133.80000000000001"/>
  </r>
  <r>
    <x v="482"/>
    <s v="Hangingout/Ticket"/>
    <n v="184.39999999999998"/>
    <m/>
    <x v="6"/>
    <x v="4"/>
    <x v="1"/>
    <x v="4"/>
    <x v="6"/>
    <n v="-184.39999999999998"/>
  </r>
  <r>
    <x v="483"/>
    <s v="Fashionistas"/>
    <n v="154.49999999999997"/>
    <m/>
    <x v="7"/>
    <x v="4"/>
    <x v="1"/>
    <x v="4"/>
    <x v="0"/>
    <n v="-154.49999999999997"/>
  </r>
  <r>
    <x v="484"/>
    <s v="Uba"/>
    <n v="32.1"/>
    <m/>
    <x v="9"/>
    <x v="3"/>
    <x v="1"/>
    <x v="4"/>
    <x v="1"/>
    <n v="-32.1"/>
  </r>
  <r>
    <x v="485"/>
    <s v="Foodary"/>
    <n v="15"/>
    <m/>
    <x v="8"/>
    <x v="1"/>
    <x v="1"/>
    <x v="4"/>
    <x v="2"/>
    <n v="-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BEC3A-E7EB-4755-BCA1-21DF8ECB77AA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33:R46" firstHeaderRow="1" firstDataRow="1" firstDataCol="1"/>
  <pivotFields count="10">
    <pivotField numFmtId="14" showAll="0"/>
    <pivotField showAll="0"/>
    <pivotField showAll="0"/>
    <pivotField dataField="1" showAll="0"/>
    <pivotField showAll="0"/>
    <pivotField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multipleItemSelectionAllowed="1" showAll="0">
      <items count="3">
        <item x="1"/>
        <item h="1"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redit" fld="3" baseField="0" baseItem="0"/>
  </dataFields>
  <formats count="7">
    <format dxfId="14">
      <pivotArea outline="0" collapsedLevelsAreSubtotals="1" fieldPosition="0"/>
    </format>
    <format dxfId="15">
      <pivotArea dataOnly="0" labelOnly="1" outline="0" axis="axisValues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5" type="button" dataOnly="0" labelOnly="1" outline="0"/>
    </format>
    <format dxfId="19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889B6-05CA-4167-B66C-5EB1A073E968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33:O46" firstHeaderRow="1" firstDataRow="1" firstDataCol="1"/>
  <pivotFields count="10">
    <pivotField numFmtId="14" showAll="0"/>
    <pivotField showAll="0"/>
    <pivotField dataField="1" showAll="0"/>
    <pivotField showAll="0"/>
    <pivotField showAll="0"/>
    <pivotField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multipleItemSelectionAllowed="1" showAll="0">
      <items count="3">
        <item x="1"/>
        <item h="1"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ebit" fld="2" baseField="0" baseItem="0"/>
  </dataFields>
  <formats count="7">
    <format dxfId="51">
      <pivotArea outline="0" collapsedLevelsAreSubtotals="1" fieldPosition="0"/>
    </format>
    <format dxfId="52">
      <pivotArea dataOnly="0" labelOnly="1" outline="0" axis="axisValues" fieldPosition="0"/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5" type="button" dataOnly="0" labelOnly="1" outline="0"/>
    </format>
    <format dxfId="56">
      <pivotArea dataOnly="0" labelOnly="1" grandRow="1" outline="0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72275-E305-400B-AD1D-01F59D6C1DB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5:L42" firstHeaderRow="1" firstDataRow="1" firstDataCol="1" rowPageCount="1" colPageCount="1"/>
  <pivotFields count="10">
    <pivotField numFmtId="14" showAll="0"/>
    <pivotField showAll="0"/>
    <pivotField dataField="1" showAll="0"/>
    <pivotField showAll="0"/>
    <pivotField showAll="0"/>
    <pivotField axis="axisRow"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numFmtId="164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7"/>
    </i>
    <i t="grand">
      <x/>
    </i>
  </rowItems>
  <colItems count="1">
    <i/>
  </colItems>
  <pageFields count="1">
    <pageField fld="6" hier="-1"/>
  </pageFields>
  <dataFields count="1">
    <dataField name="Sum of Debit" fld="2" baseField="0" baseItem="0"/>
  </dataFields>
  <formats count="8">
    <format dxfId="58">
      <pivotArea outline="0" collapsedLevelsAreSubtotals="1" fieldPosition="0"/>
    </format>
    <format dxfId="59">
      <pivotArea dataOnly="0" labelOnly="1" outline="0" axis="axisValues" fieldPosition="0"/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5" type="button" dataOnly="0" labelOnly="1" outline="0" axis="axisRow" fieldPosition="0"/>
    </format>
    <format dxfId="63">
      <pivotArea dataOnly="0" labelOnly="1" fieldPosition="0">
        <references count="1">
          <reference field="5" count="0"/>
        </references>
      </pivotArea>
    </format>
    <format dxfId="64">
      <pivotArea dataOnly="0" labelOnly="1" grandRow="1" outline="0" fieldPosition="0"/>
    </format>
    <format dxfId="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9882F-5A35-4521-988B-2163778D5E0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K19:R28" firstHeaderRow="1" firstDataRow="2" firstDataCol="1" rowPageCount="1" colPageCount="1"/>
  <pivotFields count="10">
    <pivotField numFmtId="14" showAll="0"/>
    <pivotField showAll="0"/>
    <pivotField dataField="1" showAll="0"/>
    <pivotField showAll="0"/>
    <pivotField showAll="0" measureFilter="1">
      <items count="19">
        <item x="3"/>
        <item x="7"/>
        <item x="1"/>
        <item x="0"/>
        <item x="16"/>
        <item x="14"/>
        <item x="6"/>
        <item x="15"/>
        <item x="17"/>
        <item x="5"/>
        <item x="13"/>
        <item x="4"/>
        <item x="12"/>
        <item x="2"/>
        <item x="8"/>
        <item x="9"/>
        <item x="11"/>
        <item x="10"/>
        <item t="default"/>
      </items>
    </pivotField>
    <pivotField axis="axisCol"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axis="axisRow" numFmtId="164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7"/>
    </i>
    <i t="grand">
      <x/>
    </i>
  </colItems>
  <pageFields count="1">
    <pageField fld="6" hier="-1"/>
  </pageFields>
  <dataFields count="1">
    <dataField name="Sum of Debit" fld="2" baseField="0" baseItem="0"/>
  </dataFields>
  <formats count="7">
    <format dxfId="66">
      <pivotArea outline="0" collapsedLevelsAreSubtotals="1" fieldPosition="0"/>
    </format>
    <format dxfId="67">
      <pivotArea dataOnly="0" labelOnly="1" outline="0" axis="axisValues" fieldPosition="0"/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4" type="button" dataOnly="0" labelOnly="1" outline="0"/>
    </format>
    <format dxfId="71">
      <pivotArea dataOnly="0" labelOnly="1" grandRow="1" outline="0" fieldPosition="0"/>
    </format>
    <format dxfId="72">
      <pivotArea dataOnly="0" labelOnly="1" outline="0" axis="axisValues" fieldPosition="0"/>
    </format>
  </formats>
  <chartFormats count="1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7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7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7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7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7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7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4D944-9A78-4C6D-A118-94D68624F85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K6:L12" firstHeaderRow="1" firstDataRow="1" firstDataCol="1" rowPageCount="1" colPageCount="1"/>
  <pivotFields count="10">
    <pivotField numFmtId="14" showAll="0"/>
    <pivotField showAll="0"/>
    <pivotField dataField="1" showAll="0"/>
    <pivotField showAll="0"/>
    <pivotField axis="axisRow" showAll="0" measureFilter="1" sortType="descending">
      <items count="19">
        <item x="3"/>
        <item x="7"/>
        <item x="1"/>
        <item x="0"/>
        <item x="16"/>
        <item x="14"/>
        <item x="6"/>
        <item x="15"/>
        <item x="17"/>
        <item x="5"/>
        <item x="13"/>
        <item x="4"/>
        <item x="12"/>
        <item x="2"/>
        <item x="8"/>
        <item x="9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numFmtId="164" showAll="0"/>
    <pivotField showAll="0"/>
  </pivotFields>
  <rowFields count="1">
    <field x="4"/>
  </rowFields>
  <rowItems count="6">
    <i>
      <x v="13"/>
    </i>
    <i>
      <x v="11"/>
    </i>
    <i>
      <x v="1"/>
    </i>
    <i>
      <x v="6"/>
    </i>
    <i>
      <x/>
    </i>
    <i t="grand">
      <x/>
    </i>
  </rowItems>
  <colItems count="1">
    <i/>
  </colItems>
  <pageFields count="1">
    <pageField fld="6" hier="-1"/>
  </pageFields>
  <dataFields count="1">
    <dataField name="Sum of Debit" fld="2" baseField="0" baseItem="0"/>
  </dataFields>
  <formats count="8"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4" type="button" dataOnly="0" labelOnly="1" outline="0" axis="axisRow" fieldPosition="0"/>
    </format>
    <format dxfId="75">
      <pivotArea dataOnly="0" labelOnly="1" fieldPosition="0">
        <references count="1">
          <reference field="4" count="5">
            <x v="0"/>
            <x v="1"/>
            <x v="6"/>
            <x v="11"/>
            <x v="13"/>
          </reference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</format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4758C-95CD-4D8E-AFDB-8449C5756F7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4:D13" firstHeaderRow="1" firstDataRow="1" firstDataCol="1"/>
  <pivotFields count="10">
    <pivotField numFmtId="14" showAll="0"/>
    <pivotField showAll="0"/>
    <pivotField showAll="0"/>
    <pivotField showAll="0"/>
    <pivotField showAll="0"/>
    <pivotField axis="axisRow" showAll="0" sortType="descending">
      <items count="9">
        <item x="6"/>
        <item x="1"/>
        <item x="4"/>
        <item x="2"/>
        <item x="7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showAll="0"/>
  </pivotFields>
  <rowFields count="1">
    <field x="5"/>
  </rowFields>
  <rowItems count="9">
    <i>
      <x v="6"/>
    </i>
    <i>
      <x v="5"/>
    </i>
    <i>
      <x v="4"/>
    </i>
    <i>
      <x/>
    </i>
    <i>
      <x v="1"/>
    </i>
    <i>
      <x v="7"/>
    </i>
    <i>
      <x v="2"/>
    </i>
    <i>
      <x v="3"/>
    </i>
    <i t="grand">
      <x/>
    </i>
  </rowItems>
  <colItems count="1">
    <i/>
  </colItems>
  <dataFields count="1">
    <dataField name="Sum of Amount" fld="9" baseField="5" baseItem="0" numFmtId="165"/>
  </dataFields>
  <formats count="8"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5" type="button" dataOnly="0" labelOnly="1" outline="0" axis="axisRow" fieldPosition="0"/>
    </format>
    <format dxfId="83">
      <pivotArea dataOnly="0" labelOnly="1" fieldPosition="0">
        <references count="1">
          <reference field="5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F0518-EDD0-43DC-A506-62842AFDABD8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C35:D39" firstHeaderRow="1" firstDataRow="1" firstDataCol="1" rowPageCount="1" colPageCount="1"/>
  <pivotFields count="10">
    <pivotField numFmtId="14" showAll="0"/>
    <pivotField showAll="0"/>
    <pivotField showAll="0"/>
    <pivotField dataField="1" showAll="0"/>
    <pivotField axis="axisRow" showAll="0">
      <items count="19">
        <item x="3"/>
        <item x="7"/>
        <item x="1"/>
        <item x="0"/>
        <item x="16"/>
        <item x="14"/>
        <item x="6"/>
        <item x="15"/>
        <item x="17"/>
        <item x="5"/>
        <item x="13"/>
        <item x="4"/>
        <item x="12"/>
        <item x="2"/>
        <item x="8"/>
        <item x="9"/>
        <item x="11"/>
        <item x="10"/>
        <item t="default"/>
      </items>
    </pivotField>
    <pivotField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numFmtId="164" showAll="0"/>
    <pivotField showAll="0"/>
  </pivotFields>
  <rowFields count="1">
    <field x="4"/>
  </rowFields>
  <rowItems count="4">
    <i>
      <x v="3"/>
    </i>
    <i>
      <x v="16"/>
    </i>
    <i>
      <x v="17"/>
    </i>
    <i t="grand">
      <x/>
    </i>
  </rowItems>
  <colItems count="1">
    <i/>
  </colItems>
  <pageFields count="1">
    <pageField fld="6" hier="-1"/>
  </pageFields>
  <dataFields count="1">
    <dataField name="Sum of Credit" fld="3" baseField="0" baseItem="0"/>
  </dataFields>
  <formats count="7">
    <format dxfId="95">
      <pivotArea outline="0" collapsedLevelsAreSubtotals="1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4" type="button" dataOnly="0" labelOnly="1" outline="0" axis="axisRow" fieldPosition="0"/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chartFormats count="7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D4524-81A3-47E7-AE3F-FC9399F51A5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C17:E18" firstHeaderRow="0" firstDataRow="1" firstDataCol="0"/>
  <pivotFields count="10">
    <pivotField numFmtId="14" showAll="0"/>
    <pivotField showAll="0"/>
    <pivotField dataField="1" showAll="0"/>
    <pivotField dataField="1" showAll="0"/>
    <pivotField showAll="0">
      <items count="19">
        <item x="3"/>
        <item x="7"/>
        <item x="1"/>
        <item x="0"/>
        <item x="16"/>
        <item x="14"/>
        <item x="6"/>
        <item x="15"/>
        <item x="17"/>
        <item x="5"/>
        <item x="13"/>
        <item x="4"/>
        <item x="12"/>
        <item x="2"/>
        <item x="8"/>
        <item x="9"/>
        <item x="11"/>
        <item x="10"/>
        <item t="default"/>
      </items>
    </pivotField>
    <pivotField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multipleItemSelectionAllowed="1" showAll="0">
      <items count="3">
        <item x="1"/>
        <item h="1" x="0"/>
        <item t="default"/>
      </items>
    </pivotField>
    <pivotField showAll="0"/>
    <pivotField numFmtId="164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Debit" fld="2" baseField="0" baseItem="0"/>
    <dataField name="Sum of Credit" fld="3" baseField="0" baseItem="0"/>
    <dataField name="Sum of Amount" fld="9" baseField="0" baseItem="0"/>
  </dataFields>
  <formats count="7"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4" type="button" dataOnly="0" labelOnly="1" outline="0"/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chartFormats count="11">
    <chartFormat chart="3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3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4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1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1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15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B8CC3-9396-41C0-BF0F-7D9A6269A52A}" name="Table1" displayName="Table1" ref="A1:J487" totalsRowShown="0" dataDxfId="113">
  <autoFilter ref="A1:J487" xr:uid="{962B8CC3-9396-41C0-BF0F-7D9A6269A52A}"/>
  <tableColumns count="10">
    <tableColumn id="1" xr3:uid="{2BA788FA-56DB-40B1-87FE-BECF52D60EF4}" name="Date" dataDxfId="112"/>
    <tableColumn id="2" xr3:uid="{A5CA80EE-C836-471E-94C1-2CFF23888133}" name="Description" dataDxfId="111"/>
    <tableColumn id="3" xr3:uid="{1A52BF28-BAB4-42AB-A992-7E77DD7D54E9}" name="Debit" dataDxfId="110"/>
    <tableColumn id="4" xr3:uid="{20DDC018-BE02-4222-BB56-9C19349393D5}" name="Credit" dataDxfId="109"/>
    <tableColumn id="5" xr3:uid="{102393A1-0D19-4075-AB4F-DB18457B5A6E}" name="Sub-category" dataDxfId="108"/>
    <tableColumn id="6" xr3:uid="{C84A26AE-20EB-454A-8A5C-6FBFF2E04912}" name="Category" dataDxfId="107"/>
    <tableColumn id="7" xr3:uid="{A9813F49-0DEB-45B1-BBBE-1264BB36176B}" name="Category Type" dataDxfId="106"/>
    <tableColumn id="8" xr3:uid="{7C40A583-8923-488C-829F-DDE557BEB565}" name="Month" dataDxfId="105">
      <calculatedColumnFormula>MONTH(Table1[[#This Row],[Date]])</calculatedColumnFormula>
    </tableColumn>
    <tableColumn id="9" xr3:uid="{0B3E735C-E437-4883-B6BA-180F15389B99}" name="Weekdays" dataDxfId="104">
      <calculatedColumnFormula>WEEKDAY(Table1[[#This Row],[Date]])</calculatedColumnFormula>
    </tableColumn>
    <tableColumn id="10" xr3:uid="{C6624B54-AA70-4C98-9477-B62140F9CA9D}" name="Amount" dataDxfId="103">
      <calculatedColumnFormula>(Table1[[#This Row],[Credit]]-Table1[[#This Row],[Debit]])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9A64-6262-44E8-853D-0ADA87FDD4B0}">
  <dimension ref="A1:J487"/>
  <sheetViews>
    <sheetView topLeftCell="A311" zoomScale="107" workbookViewId="0">
      <selection activeCell="G23" sqref="G23"/>
    </sheetView>
  </sheetViews>
  <sheetFormatPr defaultRowHeight="15" x14ac:dyDescent="0.25"/>
  <cols>
    <col min="1" max="1" width="11.28515625" bestFit="1" customWidth="1"/>
    <col min="2" max="2" width="13.28515625" customWidth="1"/>
    <col min="5" max="5" width="14.7109375" customWidth="1"/>
    <col min="6" max="6" width="11" customWidth="1"/>
    <col min="7" max="7" width="15.7109375" customWidth="1"/>
    <col min="9" max="9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</v>
      </c>
      <c r="I1" t="s">
        <v>62</v>
      </c>
      <c r="J1" t="s">
        <v>63</v>
      </c>
    </row>
    <row r="2" spans="1:10" x14ac:dyDescent="0.25">
      <c r="A2" s="7">
        <v>44200</v>
      </c>
      <c r="B2" s="3" t="s">
        <v>7</v>
      </c>
      <c r="C2" s="3"/>
      <c r="D2" s="3">
        <v>5000</v>
      </c>
      <c r="E2" s="3" t="s">
        <v>8</v>
      </c>
      <c r="F2" s="3" t="s">
        <v>9</v>
      </c>
      <c r="G2" s="3" t="s">
        <v>10</v>
      </c>
      <c r="H2" s="3">
        <f>MONTH(Table1[[#This Row],[Date]])</f>
        <v>1</v>
      </c>
      <c r="I2" s="8">
        <f>WEEKDAY(Table1[[#This Row],[Date]])</f>
        <v>2</v>
      </c>
      <c r="J2" s="3">
        <f>(Table1[[#This Row],[Credit]]-Table1[[#This Row],[Debit]])</f>
        <v>5000</v>
      </c>
    </row>
    <row r="3" spans="1:10" x14ac:dyDescent="0.25">
      <c r="A3" s="7">
        <v>44201</v>
      </c>
      <c r="B3" s="3" t="s">
        <v>11</v>
      </c>
      <c r="C3" s="3">
        <v>5</v>
      </c>
      <c r="D3" s="3"/>
      <c r="E3" s="3" t="s">
        <v>12</v>
      </c>
      <c r="F3" s="3" t="s">
        <v>13</v>
      </c>
      <c r="G3" s="3" t="s">
        <v>14</v>
      </c>
      <c r="H3" s="3">
        <f>MONTH(Table1[[#This Row],[Date]])</f>
        <v>1</v>
      </c>
      <c r="I3" s="8">
        <f>WEEKDAY(Table1[[#This Row],[Date]])</f>
        <v>3</v>
      </c>
      <c r="J3" s="3">
        <f>(Table1[[#This Row],[Credit]]-Table1[[#This Row],[Debit]])</f>
        <v>-5</v>
      </c>
    </row>
    <row r="4" spans="1:10" x14ac:dyDescent="0.25">
      <c r="A4" s="7">
        <v>44202</v>
      </c>
      <c r="B4" s="3" t="s">
        <v>15</v>
      </c>
      <c r="C4" s="3">
        <v>900</v>
      </c>
      <c r="D4" s="3"/>
      <c r="E4" s="3" t="s">
        <v>16</v>
      </c>
      <c r="F4" s="3" t="s">
        <v>17</v>
      </c>
      <c r="G4" s="3" t="s">
        <v>14</v>
      </c>
      <c r="H4" s="3">
        <f>MONTH(Table1[[#This Row],[Date]])</f>
        <v>1</v>
      </c>
      <c r="I4" s="8">
        <f>WEEKDAY(Table1[[#This Row],[Date]])</f>
        <v>4</v>
      </c>
      <c r="J4" s="3">
        <f>(Table1[[#This Row],[Credit]]-Table1[[#This Row],[Debit]])</f>
        <v>-900</v>
      </c>
    </row>
    <row r="5" spans="1:10" x14ac:dyDescent="0.25">
      <c r="A5" s="7">
        <v>44203</v>
      </c>
      <c r="B5" s="3" t="s">
        <v>18</v>
      </c>
      <c r="C5" s="3">
        <v>150</v>
      </c>
      <c r="D5" s="3"/>
      <c r="E5" s="3" t="s">
        <v>19</v>
      </c>
      <c r="F5" s="3" t="s">
        <v>20</v>
      </c>
      <c r="G5" s="3" t="s">
        <v>14</v>
      </c>
      <c r="H5" s="3">
        <f>MONTH(Table1[[#This Row],[Date]])</f>
        <v>1</v>
      </c>
      <c r="I5" s="8">
        <f>WEEKDAY(Table1[[#This Row],[Date]])</f>
        <v>5</v>
      </c>
      <c r="J5" s="3">
        <f>(Table1[[#This Row],[Credit]]-Table1[[#This Row],[Debit]])</f>
        <v>-150</v>
      </c>
    </row>
    <row r="6" spans="1:10" x14ac:dyDescent="0.25">
      <c r="A6" s="7">
        <v>44204</v>
      </c>
      <c r="B6" s="3" t="s">
        <v>11</v>
      </c>
      <c r="C6" s="3">
        <v>5</v>
      </c>
      <c r="D6" s="3"/>
      <c r="E6" s="3" t="s">
        <v>12</v>
      </c>
      <c r="F6" s="3" t="s">
        <v>13</v>
      </c>
      <c r="G6" s="3" t="s">
        <v>14</v>
      </c>
      <c r="H6" s="3">
        <f>MONTH(Table1[[#This Row],[Date]])</f>
        <v>1</v>
      </c>
      <c r="I6" s="8">
        <f>WEEKDAY(Table1[[#This Row],[Date]])</f>
        <v>6</v>
      </c>
      <c r="J6" s="3">
        <f>(Table1[[#This Row],[Credit]]-Table1[[#This Row],[Debit]])</f>
        <v>-5</v>
      </c>
    </row>
    <row r="7" spans="1:10" x14ac:dyDescent="0.25">
      <c r="A7" s="7">
        <v>44205</v>
      </c>
      <c r="B7" s="3" t="s">
        <v>11</v>
      </c>
      <c r="C7" s="3">
        <v>5</v>
      </c>
      <c r="D7" s="3"/>
      <c r="E7" s="3" t="s">
        <v>12</v>
      </c>
      <c r="F7" s="3" t="s">
        <v>13</v>
      </c>
      <c r="G7" s="3" t="s">
        <v>14</v>
      </c>
      <c r="H7" s="3">
        <f>MONTH(Table1[[#This Row],[Date]])</f>
        <v>1</v>
      </c>
      <c r="I7" s="8">
        <f>WEEKDAY(Table1[[#This Row],[Date]])</f>
        <v>7</v>
      </c>
      <c r="J7" s="3">
        <f>(Table1[[#This Row],[Credit]]-Table1[[#This Row],[Debit]])</f>
        <v>-5</v>
      </c>
    </row>
    <row r="8" spans="1:10" x14ac:dyDescent="0.25">
      <c r="A8" s="7">
        <v>44206</v>
      </c>
      <c r="B8" s="3" t="s">
        <v>11</v>
      </c>
      <c r="C8" s="3">
        <v>5</v>
      </c>
      <c r="D8" s="3"/>
      <c r="E8" s="3" t="s">
        <v>12</v>
      </c>
      <c r="F8" s="3" t="s">
        <v>13</v>
      </c>
      <c r="G8" s="3" t="s">
        <v>14</v>
      </c>
      <c r="H8" s="3">
        <f>MONTH(Table1[[#This Row],[Date]])</f>
        <v>1</v>
      </c>
      <c r="I8" s="8">
        <f>WEEKDAY(Table1[[#This Row],[Date]])</f>
        <v>1</v>
      </c>
      <c r="J8" s="3">
        <f>(Table1[[#This Row],[Credit]]-Table1[[#This Row],[Debit]])</f>
        <v>-5</v>
      </c>
    </row>
    <row r="9" spans="1:10" x14ac:dyDescent="0.25">
      <c r="A9" s="7">
        <v>44207</v>
      </c>
      <c r="B9" s="3" t="s">
        <v>11</v>
      </c>
      <c r="C9" s="3">
        <v>5</v>
      </c>
      <c r="D9" s="3"/>
      <c r="E9" s="3" t="s">
        <v>12</v>
      </c>
      <c r="F9" s="3" t="s">
        <v>13</v>
      </c>
      <c r="G9" s="3" t="s">
        <v>14</v>
      </c>
      <c r="H9" s="3">
        <f>MONTH(Table1[[#This Row],[Date]])</f>
        <v>1</v>
      </c>
      <c r="I9" s="8">
        <f>WEEKDAY(Table1[[#This Row],[Date]])</f>
        <v>2</v>
      </c>
      <c r="J9" s="3">
        <f>(Table1[[#This Row],[Credit]]-Table1[[#This Row],[Debit]])</f>
        <v>-5</v>
      </c>
    </row>
    <row r="10" spans="1:10" x14ac:dyDescent="0.25">
      <c r="A10" s="7">
        <v>44208</v>
      </c>
      <c r="B10" s="3" t="s">
        <v>21</v>
      </c>
      <c r="C10" s="3">
        <v>155</v>
      </c>
      <c r="D10" s="3"/>
      <c r="E10" s="3" t="s">
        <v>22</v>
      </c>
      <c r="F10" s="3" t="s">
        <v>17</v>
      </c>
      <c r="G10" s="3" t="s">
        <v>14</v>
      </c>
      <c r="H10" s="3">
        <f>MONTH(Table1[[#This Row],[Date]])</f>
        <v>1</v>
      </c>
      <c r="I10" s="8">
        <f>WEEKDAY(Table1[[#This Row],[Date]])</f>
        <v>3</v>
      </c>
      <c r="J10" s="3">
        <f>(Table1[[#This Row],[Credit]]-Table1[[#This Row],[Debit]])</f>
        <v>-155</v>
      </c>
    </row>
    <row r="11" spans="1:10" x14ac:dyDescent="0.25">
      <c r="A11" s="7">
        <v>44209</v>
      </c>
      <c r="B11" s="3" t="s">
        <v>23</v>
      </c>
      <c r="C11" s="3">
        <v>50</v>
      </c>
      <c r="D11" s="3"/>
      <c r="E11" s="3" t="s">
        <v>24</v>
      </c>
      <c r="F11" s="3" t="s">
        <v>17</v>
      </c>
      <c r="G11" s="3" t="s">
        <v>14</v>
      </c>
      <c r="H11" s="3">
        <f>MONTH(Table1[[#This Row],[Date]])</f>
        <v>1</v>
      </c>
      <c r="I11" s="8">
        <f>WEEKDAY(Table1[[#This Row],[Date]])</f>
        <v>4</v>
      </c>
      <c r="J11" s="3">
        <f>(Table1[[#This Row],[Credit]]-Table1[[#This Row],[Debit]])</f>
        <v>-50</v>
      </c>
    </row>
    <row r="12" spans="1:10" x14ac:dyDescent="0.25">
      <c r="A12" s="7">
        <v>44210</v>
      </c>
      <c r="B12" s="3" t="s">
        <v>11</v>
      </c>
      <c r="C12" s="3">
        <v>5</v>
      </c>
      <c r="D12" s="3"/>
      <c r="E12" s="3" t="s">
        <v>12</v>
      </c>
      <c r="F12" s="3" t="s">
        <v>13</v>
      </c>
      <c r="G12" s="3" t="s">
        <v>14</v>
      </c>
      <c r="H12" s="3">
        <f>MONTH(Table1[[#This Row],[Date]])</f>
        <v>1</v>
      </c>
      <c r="I12" s="8">
        <f>WEEKDAY(Table1[[#This Row],[Date]])</f>
        <v>5</v>
      </c>
      <c r="J12" s="3">
        <f>(Table1[[#This Row],[Credit]]-Table1[[#This Row],[Debit]])</f>
        <v>-5</v>
      </c>
    </row>
    <row r="13" spans="1:10" x14ac:dyDescent="0.25">
      <c r="A13" s="7">
        <v>44211</v>
      </c>
      <c r="B13" s="3" t="s">
        <v>11</v>
      </c>
      <c r="C13" s="3">
        <v>5</v>
      </c>
      <c r="D13" s="3"/>
      <c r="E13" s="3" t="s">
        <v>12</v>
      </c>
      <c r="F13" s="3" t="s">
        <v>13</v>
      </c>
      <c r="G13" s="3" t="s">
        <v>14</v>
      </c>
      <c r="H13" s="3">
        <f>MONTH(Table1[[#This Row],[Date]])</f>
        <v>1</v>
      </c>
      <c r="I13" s="8">
        <f>WEEKDAY(Table1[[#This Row],[Date]])</f>
        <v>6</v>
      </c>
      <c r="J13" s="3">
        <f>(Table1[[#This Row],[Credit]]-Table1[[#This Row],[Debit]])</f>
        <v>-5</v>
      </c>
    </row>
    <row r="14" spans="1:10" x14ac:dyDescent="0.25">
      <c r="A14" s="7">
        <v>44212</v>
      </c>
      <c r="B14" s="3" t="s">
        <v>25</v>
      </c>
      <c r="C14" s="3">
        <v>77</v>
      </c>
      <c r="D14" s="3"/>
      <c r="E14" s="3" t="s">
        <v>12</v>
      </c>
      <c r="F14" s="3" t="s">
        <v>13</v>
      </c>
      <c r="G14" s="3" t="s">
        <v>14</v>
      </c>
      <c r="H14" s="3">
        <f>MONTH(Table1[[#This Row],[Date]])</f>
        <v>1</v>
      </c>
      <c r="I14" s="8">
        <f>WEEKDAY(Table1[[#This Row],[Date]])</f>
        <v>7</v>
      </c>
      <c r="J14" s="3">
        <f>(Table1[[#This Row],[Credit]]-Table1[[#This Row],[Debit]])</f>
        <v>-77</v>
      </c>
    </row>
    <row r="15" spans="1:10" x14ac:dyDescent="0.25">
      <c r="A15" s="7">
        <v>44213</v>
      </c>
      <c r="B15" s="3" t="s">
        <v>11</v>
      </c>
      <c r="C15" s="3">
        <v>5</v>
      </c>
      <c r="D15" s="3"/>
      <c r="E15" s="3" t="s">
        <v>12</v>
      </c>
      <c r="F15" s="3" t="s">
        <v>13</v>
      </c>
      <c r="G15" s="3" t="s">
        <v>14</v>
      </c>
      <c r="H15" s="3">
        <f>MONTH(Table1[[#This Row],[Date]])</f>
        <v>1</v>
      </c>
      <c r="I15" s="8">
        <f>WEEKDAY(Table1[[#This Row],[Date]])</f>
        <v>1</v>
      </c>
      <c r="J15" s="3">
        <f>(Table1[[#This Row],[Credit]]-Table1[[#This Row],[Debit]])</f>
        <v>-5</v>
      </c>
    </row>
    <row r="16" spans="1:10" x14ac:dyDescent="0.25">
      <c r="A16" s="7">
        <v>44214</v>
      </c>
      <c r="B16" s="3" t="s">
        <v>11</v>
      </c>
      <c r="C16" s="3">
        <v>5</v>
      </c>
      <c r="D16" s="3"/>
      <c r="E16" s="3" t="s">
        <v>12</v>
      </c>
      <c r="F16" s="3" t="s">
        <v>13</v>
      </c>
      <c r="G16" s="3" t="s">
        <v>14</v>
      </c>
      <c r="H16" s="3">
        <f>MONTH(Table1[[#This Row],[Date]])</f>
        <v>1</v>
      </c>
      <c r="I16" s="8">
        <f>WEEKDAY(Table1[[#This Row],[Date]])</f>
        <v>2</v>
      </c>
      <c r="J16" s="3">
        <f>(Table1[[#This Row],[Credit]]-Table1[[#This Row],[Debit]])</f>
        <v>-5</v>
      </c>
    </row>
    <row r="17" spans="1:10" x14ac:dyDescent="0.25">
      <c r="A17" s="7">
        <v>44215</v>
      </c>
      <c r="B17" s="3" t="s">
        <v>21</v>
      </c>
      <c r="C17" s="3">
        <v>135</v>
      </c>
      <c r="D17" s="3"/>
      <c r="E17" s="3" t="s">
        <v>22</v>
      </c>
      <c r="F17" s="3" t="s">
        <v>17</v>
      </c>
      <c r="G17" s="3" t="s">
        <v>14</v>
      </c>
      <c r="H17" s="3">
        <f>MONTH(Table1[[#This Row],[Date]])</f>
        <v>1</v>
      </c>
      <c r="I17" s="8">
        <f>WEEKDAY(Table1[[#This Row],[Date]])</f>
        <v>3</v>
      </c>
      <c r="J17" s="3">
        <f>(Table1[[#This Row],[Credit]]-Table1[[#This Row],[Debit]])</f>
        <v>-135</v>
      </c>
    </row>
    <row r="18" spans="1:10" x14ac:dyDescent="0.25">
      <c r="A18" s="7">
        <v>44216</v>
      </c>
      <c r="B18" s="3" t="s">
        <v>11</v>
      </c>
      <c r="C18" s="3">
        <v>5</v>
      </c>
      <c r="D18" s="3"/>
      <c r="E18" s="3" t="s">
        <v>12</v>
      </c>
      <c r="F18" s="3" t="s">
        <v>13</v>
      </c>
      <c r="G18" s="3" t="s">
        <v>14</v>
      </c>
      <c r="H18" s="3">
        <f>MONTH(Table1[[#This Row],[Date]])</f>
        <v>1</v>
      </c>
      <c r="I18" s="8">
        <f>WEEKDAY(Table1[[#This Row],[Date]])</f>
        <v>4</v>
      </c>
      <c r="J18" s="3">
        <f>(Table1[[#This Row],[Credit]]-Table1[[#This Row],[Debit]])</f>
        <v>-5</v>
      </c>
    </row>
    <row r="19" spans="1:10" x14ac:dyDescent="0.25">
      <c r="A19" s="7">
        <v>44217</v>
      </c>
      <c r="B19" s="3" t="s">
        <v>11</v>
      </c>
      <c r="C19" s="3">
        <v>5</v>
      </c>
      <c r="D19" s="3"/>
      <c r="E19" s="3" t="s">
        <v>12</v>
      </c>
      <c r="F19" s="3" t="s">
        <v>13</v>
      </c>
      <c r="G19" s="3" t="s">
        <v>14</v>
      </c>
      <c r="H19" s="3">
        <f>MONTH(Table1[[#This Row],[Date]])</f>
        <v>1</v>
      </c>
      <c r="I19" s="8">
        <f>WEEKDAY(Table1[[#This Row],[Date]])</f>
        <v>5</v>
      </c>
      <c r="J19" s="3">
        <f>(Table1[[#This Row],[Credit]]-Table1[[#This Row],[Debit]])</f>
        <v>-5</v>
      </c>
    </row>
    <row r="20" spans="1:10" x14ac:dyDescent="0.25">
      <c r="A20" s="7">
        <v>44218</v>
      </c>
      <c r="B20" s="3" t="s">
        <v>26</v>
      </c>
      <c r="C20" s="3">
        <v>40</v>
      </c>
      <c r="D20" s="3"/>
      <c r="E20" s="3" t="s">
        <v>27</v>
      </c>
      <c r="F20" s="3" t="s">
        <v>28</v>
      </c>
      <c r="G20" s="3" t="s">
        <v>14</v>
      </c>
      <c r="H20" s="3">
        <f>MONTH(Table1[[#This Row],[Date]])</f>
        <v>1</v>
      </c>
      <c r="I20" s="8">
        <f>WEEKDAY(Table1[[#This Row],[Date]])</f>
        <v>6</v>
      </c>
      <c r="J20" s="3">
        <f>(Table1[[#This Row],[Credit]]-Table1[[#This Row],[Debit]])</f>
        <v>-40</v>
      </c>
    </row>
    <row r="21" spans="1:10" x14ac:dyDescent="0.25">
      <c r="A21" s="7">
        <v>44219</v>
      </c>
      <c r="B21" s="3" t="s">
        <v>29</v>
      </c>
      <c r="C21" s="3">
        <v>98</v>
      </c>
      <c r="D21" s="3"/>
      <c r="E21" s="3" t="s">
        <v>30</v>
      </c>
      <c r="F21" s="3" t="s">
        <v>28</v>
      </c>
      <c r="G21" s="3" t="s">
        <v>14</v>
      </c>
      <c r="H21" s="3">
        <f>MONTH(Table1[[#This Row],[Date]])</f>
        <v>1</v>
      </c>
      <c r="I21" s="8">
        <f>WEEKDAY(Table1[[#This Row],[Date]])</f>
        <v>7</v>
      </c>
      <c r="J21" s="3">
        <f>(Table1[[#This Row],[Credit]]-Table1[[#This Row],[Debit]])</f>
        <v>-98</v>
      </c>
    </row>
    <row r="22" spans="1:10" x14ac:dyDescent="0.25">
      <c r="A22" s="7">
        <v>44220</v>
      </c>
      <c r="B22" s="3" t="s">
        <v>31</v>
      </c>
      <c r="C22" s="3">
        <v>52</v>
      </c>
      <c r="D22" s="3"/>
      <c r="E22" s="3" t="s">
        <v>32</v>
      </c>
      <c r="F22" s="3" t="s">
        <v>13</v>
      </c>
      <c r="G22" s="3" t="s">
        <v>14</v>
      </c>
      <c r="H22" s="3">
        <f>MONTH(Table1[[#This Row],[Date]])</f>
        <v>1</v>
      </c>
      <c r="I22" s="8">
        <f>WEEKDAY(Table1[[#This Row],[Date]])</f>
        <v>1</v>
      </c>
      <c r="J22" s="3">
        <f>(Table1[[#This Row],[Credit]]-Table1[[#This Row],[Debit]])</f>
        <v>-52</v>
      </c>
    </row>
    <row r="23" spans="1:10" x14ac:dyDescent="0.25">
      <c r="A23" s="7">
        <v>44221</v>
      </c>
      <c r="B23" s="3" t="s">
        <v>33</v>
      </c>
      <c r="C23" s="3">
        <v>28</v>
      </c>
      <c r="D23" s="3"/>
      <c r="E23" s="3" t="s">
        <v>34</v>
      </c>
      <c r="F23" s="3" t="s">
        <v>20</v>
      </c>
      <c r="G23" s="3" t="s">
        <v>14</v>
      </c>
      <c r="H23" s="3">
        <f>MONTH(Table1[[#This Row],[Date]])</f>
        <v>1</v>
      </c>
      <c r="I23" s="8">
        <f>WEEKDAY(Table1[[#This Row],[Date]])</f>
        <v>2</v>
      </c>
      <c r="J23" s="3">
        <f>(Table1[[#This Row],[Credit]]-Table1[[#This Row],[Debit]])</f>
        <v>-28</v>
      </c>
    </row>
    <row r="24" spans="1:10" x14ac:dyDescent="0.25">
      <c r="A24" s="7">
        <v>44222</v>
      </c>
      <c r="B24" s="3" t="s">
        <v>35</v>
      </c>
      <c r="C24" s="3"/>
      <c r="D24" s="3">
        <v>4500</v>
      </c>
      <c r="E24" s="3" t="s">
        <v>36</v>
      </c>
      <c r="F24" s="3" t="s">
        <v>37</v>
      </c>
      <c r="G24" s="3" t="s">
        <v>10</v>
      </c>
      <c r="H24" s="3">
        <f>MONTH(Table1[[#This Row],[Date]])</f>
        <v>1</v>
      </c>
      <c r="I24" s="8">
        <f>WEEKDAY(Table1[[#This Row],[Date]])</f>
        <v>3</v>
      </c>
      <c r="J24" s="3">
        <f>(Table1[[#This Row],[Credit]]-Table1[[#This Row],[Debit]])</f>
        <v>4500</v>
      </c>
    </row>
    <row r="25" spans="1:10" x14ac:dyDescent="0.25">
      <c r="A25" s="7">
        <v>44223</v>
      </c>
      <c r="B25" s="3" t="s">
        <v>11</v>
      </c>
      <c r="C25" s="3">
        <v>5</v>
      </c>
      <c r="D25" s="3"/>
      <c r="E25" s="3" t="s">
        <v>12</v>
      </c>
      <c r="F25" s="3" t="s">
        <v>13</v>
      </c>
      <c r="G25" s="3" t="s">
        <v>14</v>
      </c>
      <c r="H25" s="3">
        <f>MONTH(Table1[[#This Row],[Date]])</f>
        <v>1</v>
      </c>
      <c r="I25" s="8">
        <f>WEEKDAY(Table1[[#This Row],[Date]])</f>
        <v>4</v>
      </c>
      <c r="J25" s="3">
        <f>(Table1[[#This Row],[Credit]]-Table1[[#This Row],[Debit]])</f>
        <v>-5</v>
      </c>
    </row>
    <row r="26" spans="1:10" x14ac:dyDescent="0.25">
      <c r="A26" s="7">
        <v>44224</v>
      </c>
      <c r="B26" s="3" t="s">
        <v>11</v>
      </c>
      <c r="C26" s="3">
        <v>5</v>
      </c>
      <c r="D26" s="3"/>
      <c r="E26" s="3" t="s">
        <v>12</v>
      </c>
      <c r="F26" s="3" t="s">
        <v>13</v>
      </c>
      <c r="G26" s="3" t="s">
        <v>14</v>
      </c>
      <c r="H26" s="3">
        <f>MONTH(Table1[[#This Row],[Date]])</f>
        <v>1</v>
      </c>
      <c r="I26" s="8">
        <f>WEEKDAY(Table1[[#This Row],[Date]])</f>
        <v>5</v>
      </c>
      <c r="J26" s="3">
        <f>(Table1[[#This Row],[Credit]]-Table1[[#This Row],[Debit]])</f>
        <v>-5</v>
      </c>
    </row>
    <row r="27" spans="1:10" x14ac:dyDescent="0.25">
      <c r="A27" s="7">
        <v>44225</v>
      </c>
      <c r="B27" s="3" t="s">
        <v>35</v>
      </c>
      <c r="C27" s="3"/>
      <c r="D27" s="3">
        <v>4500</v>
      </c>
      <c r="E27" s="3" t="s">
        <v>38</v>
      </c>
      <c r="F27" s="3" t="s">
        <v>37</v>
      </c>
      <c r="G27" s="3" t="s">
        <v>10</v>
      </c>
      <c r="H27" s="3">
        <f>MONTH(Table1[[#This Row],[Date]])</f>
        <v>1</v>
      </c>
      <c r="I27" s="8">
        <f>WEEKDAY(Table1[[#This Row],[Date]])</f>
        <v>6</v>
      </c>
      <c r="J27" s="3">
        <f>(Table1[[#This Row],[Credit]]-Table1[[#This Row],[Debit]])</f>
        <v>4500</v>
      </c>
    </row>
    <row r="28" spans="1:10" x14ac:dyDescent="0.25">
      <c r="A28" s="7">
        <v>44226</v>
      </c>
      <c r="B28" s="3" t="s">
        <v>39</v>
      </c>
      <c r="C28" s="3">
        <v>40</v>
      </c>
      <c r="D28" s="3"/>
      <c r="E28" s="3" t="s">
        <v>39</v>
      </c>
      <c r="F28" s="3" t="s">
        <v>17</v>
      </c>
      <c r="G28" s="3" t="s">
        <v>14</v>
      </c>
      <c r="H28" s="3">
        <f>MONTH(Table1[[#This Row],[Date]])</f>
        <v>1</v>
      </c>
      <c r="I28" s="8">
        <f>WEEKDAY(Table1[[#This Row],[Date]])</f>
        <v>7</v>
      </c>
      <c r="J28" s="3">
        <f>(Table1[[#This Row],[Credit]]-Table1[[#This Row],[Debit]])</f>
        <v>-40</v>
      </c>
    </row>
    <row r="29" spans="1:10" x14ac:dyDescent="0.25">
      <c r="A29" s="7">
        <v>44227</v>
      </c>
      <c r="B29" s="3" t="s">
        <v>40</v>
      </c>
      <c r="C29" s="3">
        <v>45</v>
      </c>
      <c r="D29" s="3"/>
      <c r="E29" s="3" t="s">
        <v>41</v>
      </c>
      <c r="F29" s="3" t="s">
        <v>28</v>
      </c>
      <c r="G29" s="3" t="s">
        <v>14</v>
      </c>
      <c r="H29" s="3">
        <f>MONTH(Table1[[#This Row],[Date]])</f>
        <v>1</v>
      </c>
      <c r="I29" s="8">
        <f>WEEKDAY(Table1[[#This Row],[Date]])</f>
        <v>1</v>
      </c>
      <c r="J29" s="3">
        <f>(Table1[[#This Row],[Credit]]-Table1[[#This Row],[Debit]])</f>
        <v>-45</v>
      </c>
    </row>
    <row r="30" spans="1:10" x14ac:dyDescent="0.25">
      <c r="A30" s="7">
        <v>44228</v>
      </c>
      <c r="B30" s="3" t="s">
        <v>42</v>
      </c>
      <c r="C30" s="3">
        <v>32</v>
      </c>
      <c r="D30" s="3"/>
      <c r="E30" s="3" t="s">
        <v>27</v>
      </c>
      <c r="F30" s="3" t="s">
        <v>28</v>
      </c>
      <c r="G30" s="3" t="s">
        <v>14</v>
      </c>
      <c r="H30" s="3">
        <f>MONTH(Table1[[#This Row],[Date]])</f>
        <v>2</v>
      </c>
      <c r="I30" s="8">
        <f>WEEKDAY(Table1[[#This Row],[Date]])</f>
        <v>2</v>
      </c>
      <c r="J30" s="3">
        <f>(Table1[[#This Row],[Credit]]-Table1[[#This Row],[Debit]])</f>
        <v>-32</v>
      </c>
    </row>
    <row r="31" spans="1:10" x14ac:dyDescent="0.25">
      <c r="A31" s="7">
        <v>44229</v>
      </c>
      <c r="B31" s="3" t="s">
        <v>11</v>
      </c>
      <c r="C31" s="3">
        <v>5</v>
      </c>
      <c r="D31" s="3"/>
      <c r="E31" s="3" t="s">
        <v>12</v>
      </c>
      <c r="F31" s="3" t="s">
        <v>13</v>
      </c>
      <c r="G31" s="3" t="s">
        <v>14</v>
      </c>
      <c r="H31" s="3">
        <f>MONTH(Table1[[#This Row],[Date]])</f>
        <v>2</v>
      </c>
      <c r="I31" s="8">
        <f>WEEKDAY(Table1[[#This Row],[Date]])</f>
        <v>3</v>
      </c>
      <c r="J31" s="3">
        <f>(Table1[[#This Row],[Credit]]-Table1[[#This Row],[Debit]])</f>
        <v>-5</v>
      </c>
    </row>
    <row r="32" spans="1:10" x14ac:dyDescent="0.25">
      <c r="A32" s="7">
        <v>44230</v>
      </c>
      <c r="B32" s="3" t="s">
        <v>11</v>
      </c>
      <c r="C32" s="3">
        <v>5</v>
      </c>
      <c r="D32" s="3"/>
      <c r="E32" s="3" t="s">
        <v>12</v>
      </c>
      <c r="F32" s="3" t="s">
        <v>13</v>
      </c>
      <c r="G32" s="3" t="s">
        <v>14</v>
      </c>
      <c r="H32" s="3">
        <f>MONTH(Table1[[#This Row],[Date]])</f>
        <v>2</v>
      </c>
      <c r="I32" s="8">
        <f>WEEKDAY(Table1[[#This Row],[Date]])</f>
        <v>4</v>
      </c>
      <c r="J32" s="3">
        <f>(Table1[[#This Row],[Credit]]-Table1[[#This Row],[Debit]])</f>
        <v>-5</v>
      </c>
    </row>
    <row r="33" spans="1:10" x14ac:dyDescent="0.25">
      <c r="A33" s="7">
        <v>44231</v>
      </c>
      <c r="B33" s="3" t="s">
        <v>11</v>
      </c>
      <c r="C33" s="3">
        <v>5</v>
      </c>
      <c r="D33" s="3"/>
      <c r="E33" s="3" t="s">
        <v>12</v>
      </c>
      <c r="F33" s="3" t="s">
        <v>13</v>
      </c>
      <c r="G33" s="3" t="s">
        <v>14</v>
      </c>
      <c r="H33" s="3">
        <f>MONTH(Table1[[#This Row],[Date]])</f>
        <v>2</v>
      </c>
      <c r="I33" s="8">
        <f>WEEKDAY(Table1[[#This Row],[Date]])</f>
        <v>5</v>
      </c>
      <c r="J33" s="3">
        <f>(Table1[[#This Row],[Credit]]-Table1[[#This Row],[Debit]])</f>
        <v>-5</v>
      </c>
    </row>
    <row r="34" spans="1:10" x14ac:dyDescent="0.25">
      <c r="A34" s="7">
        <v>44232</v>
      </c>
      <c r="B34" s="3" t="s">
        <v>21</v>
      </c>
      <c r="C34" s="3">
        <v>170</v>
      </c>
      <c r="D34" s="3"/>
      <c r="E34" s="3" t="s">
        <v>22</v>
      </c>
      <c r="F34" s="3" t="s">
        <v>17</v>
      </c>
      <c r="G34" s="3" t="s">
        <v>14</v>
      </c>
      <c r="H34" s="3">
        <f>MONTH(Table1[[#This Row],[Date]])</f>
        <v>2</v>
      </c>
      <c r="I34" s="8">
        <f>WEEKDAY(Table1[[#This Row],[Date]])</f>
        <v>6</v>
      </c>
      <c r="J34" s="3">
        <f>(Table1[[#This Row],[Credit]]-Table1[[#This Row],[Debit]])</f>
        <v>-170</v>
      </c>
    </row>
    <row r="35" spans="1:10" x14ac:dyDescent="0.25">
      <c r="A35" s="7">
        <v>44233</v>
      </c>
      <c r="B35" s="3" t="s">
        <v>43</v>
      </c>
      <c r="C35" s="3">
        <v>37</v>
      </c>
      <c r="D35" s="3"/>
      <c r="E35" s="3" t="s">
        <v>32</v>
      </c>
      <c r="F35" s="3" t="s">
        <v>13</v>
      </c>
      <c r="G35" s="3" t="s">
        <v>14</v>
      </c>
      <c r="H35" s="3">
        <f>MONTH(Table1[[#This Row],[Date]])</f>
        <v>2</v>
      </c>
      <c r="I35" s="8">
        <f>WEEKDAY(Table1[[#This Row],[Date]])</f>
        <v>7</v>
      </c>
      <c r="J35" s="3">
        <f>(Table1[[#This Row],[Credit]]-Table1[[#This Row],[Debit]])</f>
        <v>-37</v>
      </c>
    </row>
    <row r="36" spans="1:10" x14ac:dyDescent="0.25">
      <c r="A36" s="7">
        <v>44234</v>
      </c>
      <c r="B36" s="3" t="s">
        <v>44</v>
      </c>
      <c r="C36" s="3">
        <v>12</v>
      </c>
      <c r="D36" s="3"/>
      <c r="E36" s="3" t="s">
        <v>32</v>
      </c>
      <c r="F36" s="3" t="s">
        <v>13</v>
      </c>
      <c r="G36" s="3" t="s">
        <v>14</v>
      </c>
      <c r="H36" s="3">
        <f>MONTH(Table1[[#This Row],[Date]])</f>
        <v>2</v>
      </c>
      <c r="I36" s="8">
        <f>WEEKDAY(Table1[[#This Row],[Date]])</f>
        <v>1</v>
      </c>
      <c r="J36" s="3">
        <f>(Table1[[#This Row],[Credit]]-Table1[[#This Row],[Debit]])</f>
        <v>-12</v>
      </c>
    </row>
    <row r="37" spans="1:10" x14ac:dyDescent="0.25">
      <c r="A37" s="7">
        <v>44235</v>
      </c>
      <c r="B37" s="3" t="s">
        <v>45</v>
      </c>
      <c r="C37" s="3">
        <v>55</v>
      </c>
      <c r="D37" s="3"/>
      <c r="E37" s="3" t="s">
        <v>46</v>
      </c>
      <c r="F37" s="3" t="s">
        <v>47</v>
      </c>
      <c r="G37" s="3" t="s">
        <v>14</v>
      </c>
      <c r="H37" s="3">
        <f>MONTH(Table1[[#This Row],[Date]])</f>
        <v>2</v>
      </c>
      <c r="I37" s="8">
        <f>WEEKDAY(Table1[[#This Row],[Date]])</f>
        <v>2</v>
      </c>
      <c r="J37" s="3">
        <f>(Table1[[#This Row],[Credit]]-Table1[[#This Row],[Debit]])</f>
        <v>-55</v>
      </c>
    </row>
    <row r="38" spans="1:10" x14ac:dyDescent="0.25">
      <c r="A38" s="7">
        <v>44236</v>
      </c>
      <c r="B38" s="3" t="s">
        <v>25</v>
      </c>
      <c r="C38" s="3">
        <v>63</v>
      </c>
      <c r="D38" s="3"/>
      <c r="E38" s="3" t="s">
        <v>48</v>
      </c>
      <c r="F38" s="3" t="s">
        <v>20</v>
      </c>
      <c r="G38" s="3" t="s">
        <v>14</v>
      </c>
      <c r="H38" s="3">
        <f>MONTH(Table1[[#This Row],[Date]])</f>
        <v>2</v>
      </c>
      <c r="I38" s="8">
        <f>WEEKDAY(Table1[[#This Row],[Date]])</f>
        <v>3</v>
      </c>
      <c r="J38" s="3">
        <f>(Table1[[#This Row],[Credit]]-Table1[[#This Row],[Debit]])</f>
        <v>-63</v>
      </c>
    </row>
    <row r="39" spans="1:10" x14ac:dyDescent="0.25">
      <c r="A39" s="7">
        <v>44237</v>
      </c>
      <c r="B39" s="3" t="s">
        <v>11</v>
      </c>
      <c r="C39" s="3">
        <v>5</v>
      </c>
      <c r="D39" s="3"/>
      <c r="E39" s="3" t="s">
        <v>12</v>
      </c>
      <c r="F39" s="3" t="s">
        <v>13</v>
      </c>
      <c r="G39" s="3" t="s">
        <v>14</v>
      </c>
      <c r="H39" s="3">
        <f>MONTH(Table1[[#This Row],[Date]])</f>
        <v>2</v>
      </c>
      <c r="I39" s="8">
        <f>WEEKDAY(Table1[[#This Row],[Date]])</f>
        <v>4</v>
      </c>
      <c r="J39" s="3">
        <f>(Table1[[#This Row],[Credit]]-Table1[[#This Row],[Debit]])</f>
        <v>-5</v>
      </c>
    </row>
    <row r="40" spans="1:10" x14ac:dyDescent="0.25">
      <c r="A40" s="7">
        <v>44238</v>
      </c>
      <c r="B40" s="3" t="s">
        <v>11</v>
      </c>
      <c r="C40" s="3">
        <v>5</v>
      </c>
      <c r="D40" s="3"/>
      <c r="E40" s="3" t="s">
        <v>12</v>
      </c>
      <c r="F40" s="3" t="s">
        <v>13</v>
      </c>
      <c r="G40" s="3" t="s">
        <v>14</v>
      </c>
      <c r="H40" s="3">
        <f>MONTH(Table1[[#This Row],[Date]])</f>
        <v>2</v>
      </c>
      <c r="I40" s="8">
        <f>WEEKDAY(Table1[[#This Row],[Date]])</f>
        <v>5</v>
      </c>
      <c r="J40" s="3">
        <f>(Table1[[#This Row],[Credit]]-Table1[[#This Row],[Debit]])</f>
        <v>-5</v>
      </c>
    </row>
    <row r="41" spans="1:10" x14ac:dyDescent="0.25">
      <c r="A41" s="7">
        <v>44239</v>
      </c>
      <c r="B41" s="3" t="s">
        <v>11</v>
      </c>
      <c r="C41" s="3">
        <v>5</v>
      </c>
      <c r="D41" s="3"/>
      <c r="E41" s="3" t="s">
        <v>12</v>
      </c>
      <c r="F41" s="3" t="s">
        <v>13</v>
      </c>
      <c r="G41" s="3" t="s">
        <v>14</v>
      </c>
      <c r="H41" s="3">
        <f>MONTH(Table1[[#This Row],[Date]])</f>
        <v>2</v>
      </c>
      <c r="I41" s="8">
        <f>WEEKDAY(Table1[[#This Row],[Date]])</f>
        <v>6</v>
      </c>
      <c r="J41" s="3">
        <f>(Table1[[#This Row],[Credit]]-Table1[[#This Row],[Debit]])</f>
        <v>-5</v>
      </c>
    </row>
    <row r="42" spans="1:10" x14ac:dyDescent="0.25">
      <c r="A42" s="7">
        <v>44240</v>
      </c>
      <c r="B42" s="3" t="s">
        <v>11</v>
      </c>
      <c r="C42" s="3">
        <v>5</v>
      </c>
      <c r="D42" s="3"/>
      <c r="E42" s="3" t="s">
        <v>12</v>
      </c>
      <c r="F42" s="3" t="s">
        <v>13</v>
      </c>
      <c r="G42" s="3" t="s">
        <v>14</v>
      </c>
      <c r="H42" s="3">
        <f>MONTH(Table1[[#This Row],[Date]])</f>
        <v>2</v>
      </c>
      <c r="I42" s="8">
        <f>WEEKDAY(Table1[[#This Row],[Date]])</f>
        <v>7</v>
      </c>
      <c r="J42" s="3">
        <f>(Table1[[#This Row],[Credit]]-Table1[[#This Row],[Debit]])</f>
        <v>-5</v>
      </c>
    </row>
    <row r="43" spans="1:10" x14ac:dyDescent="0.25">
      <c r="A43" s="7">
        <v>44241</v>
      </c>
      <c r="B43" s="3" t="s">
        <v>11</v>
      </c>
      <c r="C43" s="3">
        <v>5</v>
      </c>
      <c r="D43" s="3"/>
      <c r="E43" s="3" t="s">
        <v>12</v>
      </c>
      <c r="F43" s="3" t="s">
        <v>13</v>
      </c>
      <c r="G43" s="3" t="s">
        <v>14</v>
      </c>
      <c r="H43" s="3">
        <f>MONTH(Table1[[#This Row],[Date]])</f>
        <v>2</v>
      </c>
      <c r="I43" s="8">
        <f>WEEKDAY(Table1[[#This Row],[Date]])</f>
        <v>1</v>
      </c>
      <c r="J43" s="3">
        <f>(Table1[[#This Row],[Credit]]-Table1[[#This Row],[Debit]])</f>
        <v>-5</v>
      </c>
    </row>
    <row r="44" spans="1:10" x14ac:dyDescent="0.25">
      <c r="A44" s="7">
        <v>44242</v>
      </c>
      <c r="B44" s="3" t="s">
        <v>21</v>
      </c>
      <c r="C44" s="3">
        <v>162</v>
      </c>
      <c r="D44" s="3"/>
      <c r="E44" s="3" t="s">
        <v>22</v>
      </c>
      <c r="F44" s="3" t="s">
        <v>17</v>
      </c>
      <c r="G44" s="3" t="s">
        <v>14</v>
      </c>
      <c r="H44" s="3">
        <f>MONTH(Table1[[#This Row],[Date]])</f>
        <v>2</v>
      </c>
      <c r="I44" s="8">
        <f>WEEKDAY(Table1[[#This Row],[Date]])</f>
        <v>2</v>
      </c>
      <c r="J44" s="3">
        <f>(Table1[[#This Row],[Credit]]-Table1[[#This Row],[Debit]])</f>
        <v>-162</v>
      </c>
    </row>
    <row r="45" spans="1:10" x14ac:dyDescent="0.25">
      <c r="A45" s="7">
        <v>44243</v>
      </c>
      <c r="B45" s="3" t="s">
        <v>49</v>
      </c>
      <c r="C45" s="3">
        <v>125</v>
      </c>
      <c r="D45" s="3"/>
      <c r="E45" s="3" t="s">
        <v>30</v>
      </c>
      <c r="F45" s="3" t="s">
        <v>28</v>
      </c>
      <c r="G45" s="3" t="s">
        <v>14</v>
      </c>
      <c r="H45" s="3">
        <f>MONTH(Table1[[#This Row],[Date]])</f>
        <v>2</v>
      </c>
      <c r="I45" s="8">
        <f>WEEKDAY(Table1[[#This Row],[Date]])</f>
        <v>3</v>
      </c>
      <c r="J45" s="3">
        <f>(Table1[[#This Row],[Credit]]-Table1[[#This Row],[Debit]])</f>
        <v>-125</v>
      </c>
    </row>
    <row r="46" spans="1:10" x14ac:dyDescent="0.25">
      <c r="A46" s="7">
        <v>44244</v>
      </c>
      <c r="B46" s="3" t="s">
        <v>50</v>
      </c>
      <c r="C46" s="3">
        <v>175</v>
      </c>
      <c r="D46" s="3"/>
      <c r="E46" s="3" t="s">
        <v>27</v>
      </c>
      <c r="F46" s="3" t="s">
        <v>28</v>
      </c>
      <c r="G46" s="3" t="s">
        <v>14</v>
      </c>
      <c r="H46" s="3">
        <f>MONTH(Table1[[#This Row],[Date]])</f>
        <v>2</v>
      </c>
      <c r="I46" s="8">
        <f>WEEKDAY(Table1[[#This Row],[Date]])</f>
        <v>4</v>
      </c>
      <c r="J46" s="3">
        <f>(Table1[[#This Row],[Credit]]-Table1[[#This Row],[Debit]])</f>
        <v>-175</v>
      </c>
    </row>
    <row r="47" spans="1:10" x14ac:dyDescent="0.25">
      <c r="A47" s="7">
        <v>44245</v>
      </c>
      <c r="B47" s="3" t="s">
        <v>29</v>
      </c>
      <c r="C47" s="3">
        <v>145</v>
      </c>
      <c r="D47" s="3"/>
      <c r="E47" s="3" t="s">
        <v>30</v>
      </c>
      <c r="F47" s="3" t="s">
        <v>28</v>
      </c>
      <c r="G47" s="3" t="s">
        <v>14</v>
      </c>
      <c r="H47" s="3">
        <f>MONTH(Table1[[#This Row],[Date]])</f>
        <v>2</v>
      </c>
      <c r="I47" s="8">
        <f>WEEKDAY(Table1[[#This Row],[Date]])</f>
        <v>5</v>
      </c>
      <c r="J47" s="3">
        <f>(Table1[[#This Row],[Credit]]-Table1[[#This Row],[Debit]])</f>
        <v>-145</v>
      </c>
    </row>
    <row r="48" spans="1:10" x14ac:dyDescent="0.25">
      <c r="A48" s="7">
        <v>44246</v>
      </c>
      <c r="B48" s="3" t="s">
        <v>33</v>
      </c>
      <c r="C48" s="3">
        <v>23</v>
      </c>
      <c r="D48" s="3"/>
      <c r="E48" s="3" t="s">
        <v>34</v>
      </c>
      <c r="F48" s="3" t="s">
        <v>20</v>
      </c>
      <c r="G48" s="3" t="s">
        <v>14</v>
      </c>
      <c r="H48" s="3">
        <f>MONTH(Table1[[#This Row],[Date]])</f>
        <v>2</v>
      </c>
      <c r="I48" s="8">
        <f>WEEKDAY(Table1[[#This Row],[Date]])</f>
        <v>6</v>
      </c>
      <c r="J48" s="3">
        <f>(Table1[[#This Row],[Credit]]-Table1[[#This Row],[Debit]])</f>
        <v>-23</v>
      </c>
    </row>
    <row r="49" spans="1:10" x14ac:dyDescent="0.25">
      <c r="A49" s="7">
        <v>44247</v>
      </c>
      <c r="B49" s="3" t="s">
        <v>7</v>
      </c>
      <c r="C49" s="3"/>
      <c r="D49" s="3">
        <v>5000</v>
      </c>
      <c r="E49" s="3" t="s">
        <v>8</v>
      </c>
      <c r="F49" s="3" t="s">
        <v>9</v>
      </c>
      <c r="G49" s="3" t="s">
        <v>10</v>
      </c>
      <c r="H49" s="3">
        <f>MONTH(Table1[[#This Row],[Date]])</f>
        <v>2</v>
      </c>
      <c r="I49" s="8">
        <f>WEEKDAY(Table1[[#This Row],[Date]])</f>
        <v>7</v>
      </c>
      <c r="J49" s="3">
        <f>(Table1[[#This Row],[Credit]]-Table1[[#This Row],[Debit]])</f>
        <v>5000</v>
      </c>
    </row>
    <row r="50" spans="1:10" x14ac:dyDescent="0.25">
      <c r="A50" s="7">
        <v>44248</v>
      </c>
      <c r="B50" s="3" t="s">
        <v>11</v>
      </c>
      <c r="C50" s="3">
        <v>5</v>
      </c>
      <c r="D50" s="3"/>
      <c r="E50" s="3" t="s">
        <v>12</v>
      </c>
      <c r="F50" s="3" t="s">
        <v>13</v>
      </c>
      <c r="G50" s="3" t="s">
        <v>14</v>
      </c>
      <c r="H50" s="3">
        <f>MONTH(Table1[[#This Row],[Date]])</f>
        <v>2</v>
      </c>
      <c r="I50" s="8">
        <f>WEEKDAY(Table1[[#This Row],[Date]])</f>
        <v>1</v>
      </c>
      <c r="J50" s="3">
        <f>(Table1[[#This Row],[Credit]]-Table1[[#This Row],[Debit]])</f>
        <v>-5</v>
      </c>
    </row>
    <row r="51" spans="1:10" x14ac:dyDescent="0.25">
      <c r="A51" s="7">
        <v>44249</v>
      </c>
      <c r="B51" s="3" t="s">
        <v>15</v>
      </c>
      <c r="C51" s="3">
        <v>900</v>
      </c>
      <c r="D51" s="3"/>
      <c r="E51" s="3" t="s">
        <v>16</v>
      </c>
      <c r="F51" s="3" t="s">
        <v>17</v>
      </c>
      <c r="G51" s="3" t="s">
        <v>14</v>
      </c>
      <c r="H51" s="3">
        <f>MONTH(Table1[[#This Row],[Date]])</f>
        <v>2</v>
      </c>
      <c r="I51" s="8">
        <f>WEEKDAY(Table1[[#This Row],[Date]])</f>
        <v>2</v>
      </c>
      <c r="J51" s="3">
        <f>(Table1[[#This Row],[Credit]]-Table1[[#This Row],[Debit]])</f>
        <v>-900</v>
      </c>
    </row>
    <row r="52" spans="1:10" x14ac:dyDescent="0.25">
      <c r="A52" s="7">
        <v>44250</v>
      </c>
      <c r="B52" s="3" t="s">
        <v>18</v>
      </c>
      <c r="C52" s="3">
        <v>150</v>
      </c>
      <c r="D52" s="3"/>
      <c r="E52" s="3" t="s">
        <v>19</v>
      </c>
      <c r="F52" s="3" t="s">
        <v>20</v>
      </c>
      <c r="G52" s="3" t="s">
        <v>14</v>
      </c>
      <c r="H52" s="3">
        <f>MONTH(Table1[[#This Row],[Date]])</f>
        <v>2</v>
      </c>
      <c r="I52" s="8">
        <f>WEEKDAY(Table1[[#This Row],[Date]])</f>
        <v>3</v>
      </c>
      <c r="J52" s="3">
        <f>(Table1[[#This Row],[Credit]]-Table1[[#This Row],[Debit]])</f>
        <v>-150</v>
      </c>
    </row>
    <row r="53" spans="1:10" x14ac:dyDescent="0.25">
      <c r="A53" s="7">
        <v>44251</v>
      </c>
      <c r="B53" s="3" t="s">
        <v>11</v>
      </c>
      <c r="C53" s="3">
        <v>5</v>
      </c>
      <c r="D53" s="3"/>
      <c r="E53" s="3" t="s">
        <v>12</v>
      </c>
      <c r="F53" s="3" t="s">
        <v>13</v>
      </c>
      <c r="G53" s="3" t="s">
        <v>14</v>
      </c>
      <c r="H53" s="3">
        <f>MONTH(Table1[[#This Row],[Date]])</f>
        <v>2</v>
      </c>
      <c r="I53" s="8">
        <f>WEEKDAY(Table1[[#This Row],[Date]])</f>
        <v>4</v>
      </c>
      <c r="J53" s="3">
        <f>(Table1[[#This Row],[Credit]]-Table1[[#This Row],[Debit]])</f>
        <v>-5</v>
      </c>
    </row>
    <row r="54" spans="1:10" x14ac:dyDescent="0.25">
      <c r="A54" s="7">
        <v>44252</v>
      </c>
      <c r="B54" s="3" t="s">
        <v>11</v>
      </c>
      <c r="C54" s="3">
        <v>5</v>
      </c>
      <c r="D54" s="3"/>
      <c r="E54" s="3" t="s">
        <v>12</v>
      </c>
      <c r="F54" s="3" t="s">
        <v>13</v>
      </c>
      <c r="G54" s="3" t="s">
        <v>14</v>
      </c>
      <c r="H54" s="3">
        <f>MONTH(Table1[[#This Row],[Date]])</f>
        <v>2</v>
      </c>
      <c r="I54" s="8">
        <f>WEEKDAY(Table1[[#This Row],[Date]])</f>
        <v>5</v>
      </c>
      <c r="J54" s="3">
        <f>(Table1[[#This Row],[Credit]]-Table1[[#This Row],[Debit]])</f>
        <v>-5</v>
      </c>
    </row>
    <row r="55" spans="1:10" x14ac:dyDescent="0.25">
      <c r="A55" s="7">
        <v>44253</v>
      </c>
      <c r="B55" s="3" t="s">
        <v>11</v>
      </c>
      <c r="C55" s="3">
        <v>5</v>
      </c>
      <c r="D55" s="3"/>
      <c r="E55" s="3" t="s">
        <v>12</v>
      </c>
      <c r="F55" s="3" t="s">
        <v>13</v>
      </c>
      <c r="G55" s="3" t="s">
        <v>14</v>
      </c>
      <c r="H55" s="3">
        <f>MONTH(Table1[[#This Row],[Date]])</f>
        <v>2</v>
      </c>
      <c r="I55" s="8">
        <f>WEEKDAY(Table1[[#This Row],[Date]])</f>
        <v>6</v>
      </c>
      <c r="J55" s="3">
        <f>(Table1[[#This Row],[Credit]]-Table1[[#This Row],[Debit]])</f>
        <v>-5</v>
      </c>
    </row>
    <row r="56" spans="1:10" x14ac:dyDescent="0.25">
      <c r="A56" s="7">
        <v>44254</v>
      </c>
      <c r="B56" s="3" t="s">
        <v>11</v>
      </c>
      <c r="C56" s="3">
        <v>5</v>
      </c>
      <c r="D56" s="3"/>
      <c r="E56" s="3" t="s">
        <v>12</v>
      </c>
      <c r="F56" s="3" t="s">
        <v>13</v>
      </c>
      <c r="G56" s="3" t="s">
        <v>14</v>
      </c>
      <c r="H56" s="3">
        <f>MONTH(Table1[[#This Row],[Date]])</f>
        <v>2</v>
      </c>
      <c r="I56" s="8">
        <f>WEEKDAY(Table1[[#This Row],[Date]])</f>
        <v>7</v>
      </c>
      <c r="J56" s="3">
        <f>(Table1[[#This Row],[Credit]]-Table1[[#This Row],[Debit]])</f>
        <v>-5</v>
      </c>
    </row>
    <row r="57" spans="1:10" x14ac:dyDescent="0.25">
      <c r="A57" s="7">
        <v>44255</v>
      </c>
      <c r="B57" s="3" t="s">
        <v>21</v>
      </c>
      <c r="C57" s="3">
        <v>205</v>
      </c>
      <c r="D57" s="3"/>
      <c r="E57" s="3" t="s">
        <v>22</v>
      </c>
      <c r="F57" s="3" t="s">
        <v>17</v>
      </c>
      <c r="G57" s="3" t="s">
        <v>14</v>
      </c>
      <c r="H57" s="3">
        <f>MONTH(Table1[[#This Row],[Date]])</f>
        <v>2</v>
      </c>
      <c r="I57" s="8">
        <f>WEEKDAY(Table1[[#This Row],[Date]])</f>
        <v>1</v>
      </c>
      <c r="J57" s="3">
        <f>(Table1[[#This Row],[Credit]]-Table1[[#This Row],[Debit]])</f>
        <v>-205</v>
      </c>
    </row>
    <row r="58" spans="1:10" x14ac:dyDescent="0.25">
      <c r="A58" s="7">
        <v>44256</v>
      </c>
      <c r="B58" s="3" t="s">
        <v>23</v>
      </c>
      <c r="C58" s="3">
        <v>51.1</v>
      </c>
      <c r="D58" s="3"/>
      <c r="E58" s="3" t="s">
        <v>24</v>
      </c>
      <c r="F58" s="3" t="s">
        <v>17</v>
      </c>
      <c r="G58" s="3" t="s">
        <v>14</v>
      </c>
      <c r="H58" s="3">
        <f>MONTH(Table1[[#This Row],[Date]])</f>
        <v>3</v>
      </c>
      <c r="I58" s="8">
        <f>WEEKDAY(Table1[[#This Row],[Date]])</f>
        <v>2</v>
      </c>
      <c r="J58" s="3">
        <f>(Table1[[#This Row],[Credit]]-Table1[[#This Row],[Debit]])</f>
        <v>-51.1</v>
      </c>
    </row>
    <row r="59" spans="1:10" x14ac:dyDescent="0.25">
      <c r="A59" s="7">
        <v>44257</v>
      </c>
      <c r="B59" s="3" t="s">
        <v>11</v>
      </c>
      <c r="C59" s="3">
        <v>5</v>
      </c>
      <c r="D59" s="3"/>
      <c r="E59" s="3" t="s">
        <v>12</v>
      </c>
      <c r="F59" s="3" t="s">
        <v>13</v>
      </c>
      <c r="G59" s="3" t="s">
        <v>14</v>
      </c>
      <c r="H59" s="3">
        <f>MONTH(Table1[[#This Row],[Date]])</f>
        <v>3</v>
      </c>
      <c r="I59" s="8">
        <f>WEEKDAY(Table1[[#This Row],[Date]])</f>
        <v>3</v>
      </c>
      <c r="J59" s="3">
        <f>(Table1[[#This Row],[Credit]]-Table1[[#This Row],[Debit]])</f>
        <v>-5</v>
      </c>
    </row>
    <row r="60" spans="1:10" x14ac:dyDescent="0.25">
      <c r="A60" s="7">
        <v>44258</v>
      </c>
      <c r="B60" s="3" t="s">
        <v>11</v>
      </c>
      <c r="C60" s="3">
        <v>5</v>
      </c>
      <c r="D60" s="3"/>
      <c r="E60" s="3" t="s">
        <v>12</v>
      </c>
      <c r="F60" s="3" t="s">
        <v>13</v>
      </c>
      <c r="G60" s="3" t="s">
        <v>14</v>
      </c>
      <c r="H60" s="3">
        <f>MONTH(Table1[[#This Row],[Date]])</f>
        <v>3</v>
      </c>
      <c r="I60" s="8">
        <f>WEEKDAY(Table1[[#This Row],[Date]])</f>
        <v>4</v>
      </c>
      <c r="J60" s="3">
        <f>(Table1[[#This Row],[Credit]]-Table1[[#This Row],[Debit]])</f>
        <v>-5</v>
      </c>
    </row>
    <row r="61" spans="1:10" x14ac:dyDescent="0.25">
      <c r="A61" s="7">
        <v>44259</v>
      </c>
      <c r="B61" s="3" t="s">
        <v>25</v>
      </c>
      <c r="C61" s="3">
        <v>78</v>
      </c>
      <c r="D61" s="3"/>
      <c r="E61" s="3" t="s">
        <v>48</v>
      </c>
      <c r="F61" s="3" t="s">
        <v>20</v>
      </c>
      <c r="G61" s="3" t="s">
        <v>14</v>
      </c>
      <c r="H61" s="3">
        <f>MONTH(Table1[[#This Row],[Date]])</f>
        <v>3</v>
      </c>
      <c r="I61" s="8">
        <f>WEEKDAY(Table1[[#This Row],[Date]])</f>
        <v>5</v>
      </c>
      <c r="J61" s="3">
        <f>(Table1[[#This Row],[Credit]]-Table1[[#This Row],[Debit]])</f>
        <v>-78</v>
      </c>
    </row>
    <row r="62" spans="1:10" x14ac:dyDescent="0.25">
      <c r="A62" s="7">
        <v>44260</v>
      </c>
      <c r="B62" s="3" t="s">
        <v>11</v>
      </c>
      <c r="C62" s="3">
        <v>5</v>
      </c>
      <c r="D62" s="3"/>
      <c r="E62" s="3" t="s">
        <v>12</v>
      </c>
      <c r="F62" s="3" t="s">
        <v>13</v>
      </c>
      <c r="G62" s="3" t="s">
        <v>14</v>
      </c>
      <c r="H62" s="3">
        <f>MONTH(Table1[[#This Row],[Date]])</f>
        <v>3</v>
      </c>
      <c r="I62" s="8">
        <f>WEEKDAY(Table1[[#This Row],[Date]])</f>
        <v>6</v>
      </c>
      <c r="J62" s="3">
        <f>(Table1[[#This Row],[Credit]]-Table1[[#This Row],[Debit]])</f>
        <v>-5</v>
      </c>
    </row>
    <row r="63" spans="1:10" x14ac:dyDescent="0.25">
      <c r="A63" s="7">
        <v>44261</v>
      </c>
      <c r="B63" s="3" t="s">
        <v>11</v>
      </c>
      <c r="C63" s="3">
        <v>5</v>
      </c>
      <c r="D63" s="3"/>
      <c r="E63" s="3" t="s">
        <v>12</v>
      </c>
      <c r="F63" s="3" t="s">
        <v>13</v>
      </c>
      <c r="G63" s="3" t="s">
        <v>14</v>
      </c>
      <c r="H63" s="3">
        <f>MONTH(Table1[[#This Row],[Date]])</f>
        <v>3</v>
      </c>
      <c r="I63" s="8">
        <f>WEEKDAY(Table1[[#This Row],[Date]])</f>
        <v>7</v>
      </c>
      <c r="J63" s="3">
        <f>(Table1[[#This Row],[Credit]]-Table1[[#This Row],[Debit]])</f>
        <v>-5</v>
      </c>
    </row>
    <row r="64" spans="1:10" x14ac:dyDescent="0.25">
      <c r="A64" s="7">
        <v>44262</v>
      </c>
      <c r="B64" s="3" t="s">
        <v>21</v>
      </c>
      <c r="C64" s="3">
        <v>135.9</v>
      </c>
      <c r="D64" s="3"/>
      <c r="E64" s="3" t="s">
        <v>22</v>
      </c>
      <c r="F64" s="3" t="s">
        <v>17</v>
      </c>
      <c r="G64" s="3" t="s">
        <v>14</v>
      </c>
      <c r="H64" s="3">
        <f>MONTH(Table1[[#This Row],[Date]])</f>
        <v>3</v>
      </c>
      <c r="I64" s="8">
        <f>WEEKDAY(Table1[[#This Row],[Date]])</f>
        <v>1</v>
      </c>
      <c r="J64" s="3">
        <f>(Table1[[#This Row],[Credit]]-Table1[[#This Row],[Debit]])</f>
        <v>-135.9</v>
      </c>
    </row>
    <row r="65" spans="1:10" x14ac:dyDescent="0.25">
      <c r="A65" s="7">
        <v>44263</v>
      </c>
      <c r="B65" s="3" t="s">
        <v>11</v>
      </c>
      <c r="C65" s="3">
        <v>5</v>
      </c>
      <c r="D65" s="3"/>
      <c r="E65" s="3" t="s">
        <v>12</v>
      </c>
      <c r="F65" s="3" t="s">
        <v>13</v>
      </c>
      <c r="G65" s="3" t="s">
        <v>14</v>
      </c>
      <c r="H65" s="3">
        <f>MONTH(Table1[[#This Row],[Date]])</f>
        <v>3</v>
      </c>
      <c r="I65" s="8">
        <f>WEEKDAY(Table1[[#This Row],[Date]])</f>
        <v>2</v>
      </c>
      <c r="J65" s="3">
        <f>(Table1[[#This Row],[Credit]]-Table1[[#This Row],[Debit]])</f>
        <v>-5</v>
      </c>
    </row>
    <row r="66" spans="1:10" x14ac:dyDescent="0.25">
      <c r="A66" s="7">
        <v>44264</v>
      </c>
      <c r="B66" s="3" t="s">
        <v>11</v>
      </c>
      <c r="C66" s="3">
        <v>5</v>
      </c>
      <c r="D66" s="3"/>
      <c r="E66" s="3" t="s">
        <v>12</v>
      </c>
      <c r="F66" s="3" t="s">
        <v>13</v>
      </c>
      <c r="G66" s="3" t="s">
        <v>14</v>
      </c>
      <c r="H66" s="3">
        <f>MONTH(Table1[[#This Row],[Date]])</f>
        <v>3</v>
      </c>
      <c r="I66" s="8">
        <f>WEEKDAY(Table1[[#This Row],[Date]])</f>
        <v>3</v>
      </c>
      <c r="J66" s="3">
        <f>(Table1[[#This Row],[Credit]]-Table1[[#This Row],[Debit]])</f>
        <v>-5</v>
      </c>
    </row>
    <row r="67" spans="1:10" x14ac:dyDescent="0.25">
      <c r="A67" s="7">
        <v>44265</v>
      </c>
      <c r="B67" s="3" t="s">
        <v>26</v>
      </c>
      <c r="C67" s="3">
        <v>40.9</v>
      </c>
      <c r="D67" s="3"/>
      <c r="E67" s="3" t="s">
        <v>27</v>
      </c>
      <c r="F67" s="3" t="s">
        <v>28</v>
      </c>
      <c r="G67" s="3" t="s">
        <v>14</v>
      </c>
      <c r="H67" s="3">
        <f>MONTH(Table1[[#This Row],[Date]])</f>
        <v>3</v>
      </c>
      <c r="I67" s="8">
        <f>WEEKDAY(Table1[[#This Row],[Date]])</f>
        <v>4</v>
      </c>
      <c r="J67" s="3">
        <f>(Table1[[#This Row],[Credit]]-Table1[[#This Row],[Debit]])</f>
        <v>-40.9</v>
      </c>
    </row>
    <row r="68" spans="1:10" x14ac:dyDescent="0.25">
      <c r="A68" s="7">
        <v>44266</v>
      </c>
      <c r="B68" s="3" t="s">
        <v>29</v>
      </c>
      <c r="C68" s="3">
        <v>99</v>
      </c>
      <c r="D68" s="3"/>
      <c r="E68" s="3" t="s">
        <v>30</v>
      </c>
      <c r="F68" s="3" t="s">
        <v>28</v>
      </c>
      <c r="G68" s="3" t="s">
        <v>14</v>
      </c>
      <c r="H68" s="3">
        <f>MONTH(Table1[[#This Row],[Date]])</f>
        <v>3</v>
      </c>
      <c r="I68" s="8">
        <f>WEEKDAY(Table1[[#This Row],[Date]])</f>
        <v>5</v>
      </c>
      <c r="J68" s="3">
        <f>(Table1[[#This Row],[Credit]]-Table1[[#This Row],[Debit]])</f>
        <v>-99</v>
      </c>
    </row>
    <row r="69" spans="1:10" x14ac:dyDescent="0.25">
      <c r="A69" s="7">
        <v>44267</v>
      </c>
      <c r="B69" s="3" t="s">
        <v>31</v>
      </c>
      <c r="C69" s="3">
        <v>53</v>
      </c>
      <c r="D69" s="3"/>
      <c r="E69" s="3" t="s">
        <v>32</v>
      </c>
      <c r="F69" s="3" t="s">
        <v>13</v>
      </c>
      <c r="G69" s="3" t="s">
        <v>14</v>
      </c>
      <c r="H69" s="3">
        <f>MONTH(Table1[[#This Row],[Date]])</f>
        <v>3</v>
      </c>
      <c r="I69" s="8">
        <f>WEEKDAY(Table1[[#This Row],[Date]])</f>
        <v>6</v>
      </c>
      <c r="J69" s="3">
        <f>(Table1[[#This Row],[Credit]]-Table1[[#This Row],[Debit]])</f>
        <v>-53</v>
      </c>
    </row>
    <row r="70" spans="1:10" x14ac:dyDescent="0.25">
      <c r="A70" s="7">
        <v>44268</v>
      </c>
      <c r="B70" s="3" t="s">
        <v>33</v>
      </c>
      <c r="C70" s="3">
        <v>28.9</v>
      </c>
      <c r="D70" s="3"/>
      <c r="E70" s="3" t="s">
        <v>34</v>
      </c>
      <c r="F70" s="3" t="s">
        <v>20</v>
      </c>
      <c r="G70" s="3" t="s">
        <v>14</v>
      </c>
      <c r="H70" s="3">
        <f>MONTH(Table1[[#This Row],[Date]])</f>
        <v>3</v>
      </c>
      <c r="I70" s="8">
        <f>WEEKDAY(Table1[[#This Row],[Date]])</f>
        <v>7</v>
      </c>
      <c r="J70" s="3">
        <f>(Table1[[#This Row],[Credit]]-Table1[[#This Row],[Debit]])</f>
        <v>-28.9</v>
      </c>
    </row>
    <row r="71" spans="1:10" x14ac:dyDescent="0.25">
      <c r="A71" s="7">
        <v>44269</v>
      </c>
      <c r="B71" s="3" t="s">
        <v>35</v>
      </c>
      <c r="C71" s="3"/>
      <c r="D71" s="3">
        <v>800</v>
      </c>
      <c r="E71" s="3" t="s">
        <v>36</v>
      </c>
      <c r="F71" s="3" t="s">
        <v>37</v>
      </c>
      <c r="G71" s="3" t="s">
        <v>10</v>
      </c>
      <c r="H71" s="3">
        <f>MONTH(Table1[[#This Row],[Date]])</f>
        <v>3</v>
      </c>
      <c r="I71" s="8">
        <f>WEEKDAY(Table1[[#This Row],[Date]])</f>
        <v>1</v>
      </c>
      <c r="J71" s="3">
        <f>(Table1[[#This Row],[Credit]]-Table1[[#This Row],[Debit]])</f>
        <v>800</v>
      </c>
    </row>
    <row r="72" spans="1:10" x14ac:dyDescent="0.25">
      <c r="A72" s="7">
        <v>44270</v>
      </c>
      <c r="B72" s="3" t="s">
        <v>11</v>
      </c>
      <c r="C72" s="3">
        <v>5</v>
      </c>
      <c r="D72" s="3"/>
      <c r="E72" s="3" t="s">
        <v>12</v>
      </c>
      <c r="F72" s="3" t="s">
        <v>13</v>
      </c>
      <c r="G72" s="3" t="s">
        <v>14</v>
      </c>
      <c r="H72" s="3">
        <f>MONTH(Table1[[#This Row],[Date]])</f>
        <v>3</v>
      </c>
      <c r="I72" s="8">
        <f>WEEKDAY(Table1[[#This Row],[Date]])</f>
        <v>2</v>
      </c>
      <c r="J72" s="3">
        <f>(Table1[[#This Row],[Credit]]-Table1[[#This Row],[Debit]])</f>
        <v>-5</v>
      </c>
    </row>
    <row r="73" spans="1:10" x14ac:dyDescent="0.25">
      <c r="A73" s="7">
        <v>44271</v>
      </c>
      <c r="B73" s="3" t="s">
        <v>11</v>
      </c>
      <c r="C73" s="3">
        <v>5</v>
      </c>
      <c r="D73" s="3"/>
      <c r="E73" s="3" t="s">
        <v>12</v>
      </c>
      <c r="F73" s="3" t="s">
        <v>13</v>
      </c>
      <c r="G73" s="3" t="s">
        <v>14</v>
      </c>
      <c r="H73" s="3">
        <f>MONTH(Table1[[#This Row],[Date]])</f>
        <v>3</v>
      </c>
      <c r="I73" s="8">
        <f>WEEKDAY(Table1[[#This Row],[Date]])</f>
        <v>3</v>
      </c>
      <c r="J73" s="3">
        <f>(Table1[[#This Row],[Credit]]-Table1[[#This Row],[Debit]])</f>
        <v>-5</v>
      </c>
    </row>
    <row r="74" spans="1:10" x14ac:dyDescent="0.25">
      <c r="A74" s="7">
        <v>44272</v>
      </c>
      <c r="B74" s="3" t="s">
        <v>39</v>
      </c>
      <c r="C74" s="3">
        <v>40</v>
      </c>
      <c r="D74" s="3"/>
      <c r="E74" s="3" t="s">
        <v>39</v>
      </c>
      <c r="F74" s="3" t="s">
        <v>17</v>
      </c>
      <c r="G74" s="3" t="s">
        <v>14</v>
      </c>
      <c r="H74" s="3">
        <f>MONTH(Table1[[#This Row],[Date]])</f>
        <v>3</v>
      </c>
      <c r="I74" s="8">
        <f>WEEKDAY(Table1[[#This Row],[Date]])</f>
        <v>4</v>
      </c>
      <c r="J74" s="3">
        <f>(Table1[[#This Row],[Credit]]-Table1[[#This Row],[Debit]])</f>
        <v>-40</v>
      </c>
    </row>
    <row r="75" spans="1:10" x14ac:dyDescent="0.25">
      <c r="A75" s="7">
        <v>44273</v>
      </c>
      <c r="B75" s="3" t="s">
        <v>40</v>
      </c>
      <c r="C75" s="3">
        <v>45.9</v>
      </c>
      <c r="D75" s="3"/>
      <c r="E75" s="3" t="s">
        <v>41</v>
      </c>
      <c r="F75" s="3" t="s">
        <v>28</v>
      </c>
      <c r="G75" s="3" t="s">
        <v>14</v>
      </c>
      <c r="H75" s="3">
        <f>MONTH(Table1[[#This Row],[Date]])</f>
        <v>3</v>
      </c>
      <c r="I75" s="8">
        <f>WEEKDAY(Table1[[#This Row],[Date]])</f>
        <v>5</v>
      </c>
      <c r="J75" s="3">
        <f>(Table1[[#This Row],[Credit]]-Table1[[#This Row],[Debit]])</f>
        <v>-45.9</v>
      </c>
    </row>
    <row r="76" spans="1:10" x14ac:dyDescent="0.25">
      <c r="A76" s="7">
        <v>44274</v>
      </c>
      <c r="B76" s="3" t="s">
        <v>42</v>
      </c>
      <c r="C76" s="3">
        <v>35</v>
      </c>
      <c r="D76" s="3"/>
      <c r="E76" s="3" t="s">
        <v>27</v>
      </c>
      <c r="F76" s="3" t="s">
        <v>28</v>
      </c>
      <c r="G76" s="3" t="s">
        <v>14</v>
      </c>
      <c r="H76" s="3">
        <f>MONTH(Table1[[#This Row],[Date]])</f>
        <v>3</v>
      </c>
      <c r="I76" s="8">
        <f>WEEKDAY(Table1[[#This Row],[Date]])</f>
        <v>6</v>
      </c>
      <c r="J76" s="3">
        <f>(Table1[[#This Row],[Credit]]-Table1[[#This Row],[Debit]])</f>
        <v>-35</v>
      </c>
    </row>
    <row r="77" spans="1:10" x14ac:dyDescent="0.25">
      <c r="A77" s="7">
        <v>44275</v>
      </c>
      <c r="B77" s="3" t="s">
        <v>11</v>
      </c>
      <c r="C77" s="3">
        <v>5</v>
      </c>
      <c r="D77" s="3"/>
      <c r="E77" s="3" t="s">
        <v>12</v>
      </c>
      <c r="F77" s="3" t="s">
        <v>13</v>
      </c>
      <c r="G77" s="3" t="s">
        <v>14</v>
      </c>
      <c r="H77" s="3">
        <f>MONTH(Table1[[#This Row],[Date]])</f>
        <v>3</v>
      </c>
      <c r="I77" s="8">
        <f>WEEKDAY(Table1[[#This Row],[Date]])</f>
        <v>7</v>
      </c>
      <c r="J77" s="3">
        <f>(Table1[[#This Row],[Credit]]-Table1[[#This Row],[Debit]])</f>
        <v>-5</v>
      </c>
    </row>
    <row r="78" spans="1:10" x14ac:dyDescent="0.25">
      <c r="A78" s="7">
        <v>44276</v>
      </c>
      <c r="B78" s="3" t="s">
        <v>11</v>
      </c>
      <c r="C78" s="3">
        <v>5</v>
      </c>
      <c r="D78" s="3"/>
      <c r="E78" s="3" t="s">
        <v>12</v>
      </c>
      <c r="F78" s="3" t="s">
        <v>13</v>
      </c>
      <c r="G78" s="3" t="s">
        <v>14</v>
      </c>
      <c r="H78" s="3">
        <f>MONTH(Table1[[#This Row],[Date]])</f>
        <v>3</v>
      </c>
      <c r="I78" s="8">
        <f>WEEKDAY(Table1[[#This Row],[Date]])</f>
        <v>1</v>
      </c>
      <c r="J78" s="3">
        <f>(Table1[[#This Row],[Credit]]-Table1[[#This Row],[Debit]])</f>
        <v>-5</v>
      </c>
    </row>
    <row r="79" spans="1:10" x14ac:dyDescent="0.25">
      <c r="A79" s="7">
        <v>44277</v>
      </c>
      <c r="B79" s="3" t="s">
        <v>11</v>
      </c>
      <c r="C79" s="3">
        <v>5</v>
      </c>
      <c r="D79" s="3"/>
      <c r="E79" s="3" t="s">
        <v>12</v>
      </c>
      <c r="F79" s="3" t="s">
        <v>13</v>
      </c>
      <c r="G79" s="3" t="s">
        <v>14</v>
      </c>
      <c r="H79" s="3">
        <f>MONTH(Table1[[#This Row],[Date]])</f>
        <v>3</v>
      </c>
      <c r="I79" s="8">
        <f>WEEKDAY(Table1[[#This Row],[Date]])</f>
        <v>2</v>
      </c>
      <c r="J79" s="3">
        <f>(Table1[[#This Row],[Credit]]-Table1[[#This Row],[Debit]])</f>
        <v>-5</v>
      </c>
    </row>
    <row r="80" spans="1:10" x14ac:dyDescent="0.25">
      <c r="A80" s="7">
        <v>44278</v>
      </c>
      <c r="B80" s="3" t="s">
        <v>21</v>
      </c>
      <c r="C80" s="3">
        <v>171</v>
      </c>
      <c r="D80" s="3"/>
      <c r="E80" s="3" t="s">
        <v>22</v>
      </c>
      <c r="F80" s="3" t="s">
        <v>17</v>
      </c>
      <c r="G80" s="3" t="s">
        <v>14</v>
      </c>
      <c r="H80" s="3">
        <f>MONTH(Table1[[#This Row],[Date]])</f>
        <v>3</v>
      </c>
      <c r="I80" s="8">
        <f>WEEKDAY(Table1[[#This Row],[Date]])</f>
        <v>3</v>
      </c>
      <c r="J80" s="3">
        <f>(Table1[[#This Row],[Credit]]-Table1[[#This Row],[Debit]])</f>
        <v>-171</v>
      </c>
    </row>
    <row r="81" spans="1:10" x14ac:dyDescent="0.25">
      <c r="A81" s="7">
        <v>44279</v>
      </c>
      <c r="B81" s="3" t="s">
        <v>43</v>
      </c>
      <c r="C81" s="3">
        <v>37.9</v>
      </c>
      <c r="D81" s="3"/>
      <c r="E81" s="3" t="s">
        <v>32</v>
      </c>
      <c r="F81" s="3" t="s">
        <v>13</v>
      </c>
      <c r="G81" s="3" t="s">
        <v>14</v>
      </c>
      <c r="H81" s="3">
        <f>MONTH(Table1[[#This Row],[Date]])</f>
        <v>3</v>
      </c>
      <c r="I81" s="8">
        <f>WEEKDAY(Table1[[#This Row],[Date]])</f>
        <v>4</v>
      </c>
      <c r="J81" s="3">
        <f>(Table1[[#This Row],[Credit]]-Table1[[#This Row],[Debit]])</f>
        <v>-37.9</v>
      </c>
    </row>
    <row r="82" spans="1:10" x14ac:dyDescent="0.25">
      <c r="A82" s="7">
        <v>44280</v>
      </c>
      <c r="B82" s="3" t="s">
        <v>44</v>
      </c>
      <c r="C82" s="3">
        <v>12.9</v>
      </c>
      <c r="D82" s="3"/>
      <c r="E82" s="3" t="s">
        <v>32</v>
      </c>
      <c r="F82" s="3" t="s">
        <v>13</v>
      </c>
      <c r="G82" s="3" t="s">
        <v>14</v>
      </c>
      <c r="H82" s="3">
        <f>MONTH(Table1[[#This Row],[Date]])</f>
        <v>3</v>
      </c>
      <c r="I82" s="8">
        <f>WEEKDAY(Table1[[#This Row],[Date]])</f>
        <v>5</v>
      </c>
      <c r="J82" s="3">
        <f>(Table1[[#This Row],[Credit]]-Table1[[#This Row],[Debit]])</f>
        <v>-12.9</v>
      </c>
    </row>
    <row r="83" spans="1:10" x14ac:dyDescent="0.25">
      <c r="A83" s="7">
        <v>44281</v>
      </c>
      <c r="B83" s="3" t="s">
        <v>45</v>
      </c>
      <c r="C83" s="3">
        <v>55</v>
      </c>
      <c r="D83" s="3"/>
      <c r="E83" s="3" t="s">
        <v>46</v>
      </c>
      <c r="F83" s="3" t="s">
        <v>47</v>
      </c>
      <c r="G83" s="3" t="s">
        <v>14</v>
      </c>
      <c r="H83" s="3">
        <f>MONTH(Table1[[#This Row],[Date]])</f>
        <v>3</v>
      </c>
      <c r="I83" s="8">
        <f>WEEKDAY(Table1[[#This Row],[Date]])</f>
        <v>6</v>
      </c>
      <c r="J83" s="3">
        <f>(Table1[[#This Row],[Credit]]-Table1[[#This Row],[Debit]])</f>
        <v>-55</v>
      </c>
    </row>
    <row r="84" spans="1:10" x14ac:dyDescent="0.25">
      <c r="A84" s="7">
        <v>44282</v>
      </c>
      <c r="B84" s="3" t="s">
        <v>25</v>
      </c>
      <c r="C84" s="3">
        <v>64.099999999999994</v>
      </c>
      <c r="D84" s="3"/>
      <c r="E84" s="3" t="s">
        <v>48</v>
      </c>
      <c r="F84" s="3" t="s">
        <v>20</v>
      </c>
      <c r="G84" s="3" t="s">
        <v>14</v>
      </c>
      <c r="H84" s="3">
        <f>MONTH(Table1[[#This Row],[Date]])</f>
        <v>3</v>
      </c>
      <c r="I84" s="8">
        <f>WEEKDAY(Table1[[#This Row],[Date]])</f>
        <v>7</v>
      </c>
      <c r="J84" s="3">
        <f>(Table1[[#This Row],[Credit]]-Table1[[#This Row],[Debit]])</f>
        <v>-64.099999999999994</v>
      </c>
    </row>
    <row r="85" spans="1:10" x14ac:dyDescent="0.25">
      <c r="A85" s="7">
        <v>44283</v>
      </c>
      <c r="B85" s="3" t="s">
        <v>11</v>
      </c>
      <c r="C85" s="3">
        <v>5</v>
      </c>
      <c r="D85" s="3"/>
      <c r="E85" s="3" t="s">
        <v>12</v>
      </c>
      <c r="F85" s="3" t="s">
        <v>13</v>
      </c>
      <c r="G85" s="3" t="s">
        <v>14</v>
      </c>
      <c r="H85" s="3">
        <f>MONTH(Table1[[#This Row],[Date]])</f>
        <v>3</v>
      </c>
      <c r="I85" s="8">
        <f>WEEKDAY(Table1[[#This Row],[Date]])</f>
        <v>1</v>
      </c>
      <c r="J85" s="3">
        <f>(Table1[[#This Row],[Credit]]-Table1[[#This Row],[Debit]])</f>
        <v>-5</v>
      </c>
    </row>
    <row r="86" spans="1:10" x14ac:dyDescent="0.25">
      <c r="A86" s="7">
        <v>44284</v>
      </c>
      <c r="B86" s="3" t="s">
        <v>11</v>
      </c>
      <c r="C86" s="3">
        <v>5</v>
      </c>
      <c r="D86" s="3"/>
      <c r="E86" s="3" t="s">
        <v>12</v>
      </c>
      <c r="F86" s="3" t="s">
        <v>13</v>
      </c>
      <c r="G86" s="3" t="s">
        <v>14</v>
      </c>
      <c r="H86" s="3">
        <f>MONTH(Table1[[#This Row],[Date]])</f>
        <v>3</v>
      </c>
      <c r="I86" s="8">
        <f>WEEKDAY(Table1[[#This Row],[Date]])</f>
        <v>2</v>
      </c>
      <c r="J86" s="3">
        <f>(Table1[[#This Row],[Credit]]-Table1[[#This Row],[Debit]])</f>
        <v>-5</v>
      </c>
    </row>
    <row r="87" spans="1:10" x14ac:dyDescent="0.25">
      <c r="A87" s="7">
        <v>44285</v>
      </c>
      <c r="B87" s="3" t="s">
        <v>11</v>
      </c>
      <c r="C87" s="3">
        <v>5</v>
      </c>
      <c r="D87" s="3"/>
      <c r="E87" s="3" t="s">
        <v>12</v>
      </c>
      <c r="F87" s="3" t="s">
        <v>13</v>
      </c>
      <c r="G87" s="3" t="s">
        <v>14</v>
      </c>
      <c r="H87" s="3">
        <f>MONTH(Table1[[#This Row],[Date]])</f>
        <v>3</v>
      </c>
      <c r="I87" s="8">
        <f>WEEKDAY(Table1[[#This Row],[Date]])</f>
        <v>3</v>
      </c>
      <c r="J87" s="3">
        <f>(Table1[[#This Row],[Credit]]-Table1[[#This Row],[Debit]])</f>
        <v>-5</v>
      </c>
    </row>
    <row r="88" spans="1:10" x14ac:dyDescent="0.25">
      <c r="A88" s="7">
        <v>44286</v>
      </c>
      <c r="B88" s="3" t="s">
        <v>11</v>
      </c>
      <c r="C88" s="3">
        <v>5</v>
      </c>
      <c r="D88" s="3"/>
      <c r="E88" s="3" t="s">
        <v>12</v>
      </c>
      <c r="F88" s="3" t="s">
        <v>13</v>
      </c>
      <c r="G88" s="3" t="s">
        <v>14</v>
      </c>
      <c r="H88" s="3">
        <f>MONTH(Table1[[#This Row],[Date]])</f>
        <v>3</v>
      </c>
      <c r="I88" s="8">
        <f>WEEKDAY(Table1[[#This Row],[Date]])</f>
        <v>4</v>
      </c>
      <c r="J88" s="3">
        <f>(Table1[[#This Row],[Credit]]-Table1[[#This Row],[Debit]])</f>
        <v>-5</v>
      </c>
    </row>
    <row r="89" spans="1:10" x14ac:dyDescent="0.25">
      <c r="A89" s="7">
        <v>44287</v>
      </c>
      <c r="B89" s="3" t="s">
        <v>11</v>
      </c>
      <c r="C89" s="3">
        <v>5</v>
      </c>
      <c r="D89" s="3"/>
      <c r="E89" s="3" t="s">
        <v>12</v>
      </c>
      <c r="F89" s="3" t="s">
        <v>13</v>
      </c>
      <c r="G89" s="3" t="s">
        <v>14</v>
      </c>
      <c r="H89" s="3">
        <f>MONTH(Table1[[#This Row],[Date]])</f>
        <v>4</v>
      </c>
      <c r="I89" s="8">
        <f>WEEKDAY(Table1[[#This Row],[Date]])</f>
        <v>5</v>
      </c>
      <c r="J89" s="3">
        <f>(Table1[[#This Row],[Credit]]-Table1[[#This Row],[Debit]])</f>
        <v>-5</v>
      </c>
    </row>
    <row r="90" spans="1:10" x14ac:dyDescent="0.25">
      <c r="A90" s="7">
        <v>44288</v>
      </c>
      <c r="B90" s="3" t="s">
        <v>21</v>
      </c>
      <c r="C90" s="3">
        <v>162.9</v>
      </c>
      <c r="D90" s="3"/>
      <c r="E90" s="3" t="s">
        <v>22</v>
      </c>
      <c r="F90" s="3" t="s">
        <v>17</v>
      </c>
      <c r="G90" s="3" t="s">
        <v>14</v>
      </c>
      <c r="H90" s="3">
        <f>MONTH(Table1[[#This Row],[Date]])</f>
        <v>4</v>
      </c>
      <c r="I90" s="8">
        <f>WEEKDAY(Table1[[#This Row],[Date]])</f>
        <v>6</v>
      </c>
      <c r="J90" s="3">
        <f>(Table1[[#This Row],[Credit]]-Table1[[#This Row],[Debit]])</f>
        <v>-162.9</v>
      </c>
    </row>
    <row r="91" spans="1:10" x14ac:dyDescent="0.25">
      <c r="A91" s="7">
        <v>44289</v>
      </c>
      <c r="B91" s="3" t="s">
        <v>49</v>
      </c>
      <c r="C91" s="3">
        <v>125.9</v>
      </c>
      <c r="D91" s="3"/>
      <c r="E91" s="3" t="s">
        <v>30</v>
      </c>
      <c r="F91" s="3" t="s">
        <v>28</v>
      </c>
      <c r="G91" s="3" t="s">
        <v>14</v>
      </c>
      <c r="H91" s="3">
        <f>MONTH(Table1[[#This Row],[Date]])</f>
        <v>4</v>
      </c>
      <c r="I91" s="8">
        <f>WEEKDAY(Table1[[#This Row],[Date]])</f>
        <v>7</v>
      </c>
      <c r="J91" s="3">
        <f>(Table1[[#This Row],[Credit]]-Table1[[#This Row],[Debit]])</f>
        <v>-125.9</v>
      </c>
    </row>
    <row r="92" spans="1:10" x14ac:dyDescent="0.25">
      <c r="A92" s="7">
        <v>44290</v>
      </c>
      <c r="B92" s="3" t="s">
        <v>51</v>
      </c>
      <c r="C92" s="3">
        <v>137</v>
      </c>
      <c r="D92" s="3"/>
      <c r="E92" s="3" t="s">
        <v>30</v>
      </c>
      <c r="F92" s="3" t="s">
        <v>28</v>
      </c>
      <c r="G92" s="3" t="s">
        <v>14</v>
      </c>
      <c r="H92" s="3">
        <f>MONTH(Table1[[#This Row],[Date]])</f>
        <v>4</v>
      </c>
      <c r="I92" s="8">
        <f>WEEKDAY(Table1[[#This Row],[Date]])</f>
        <v>1</v>
      </c>
      <c r="J92" s="3">
        <f>(Table1[[#This Row],[Credit]]-Table1[[#This Row],[Debit]])</f>
        <v>-137</v>
      </c>
    </row>
    <row r="93" spans="1:10" x14ac:dyDescent="0.25">
      <c r="A93" s="7">
        <v>44291</v>
      </c>
      <c r="B93" s="3" t="s">
        <v>29</v>
      </c>
      <c r="C93" s="3">
        <v>146.1</v>
      </c>
      <c r="D93" s="3"/>
      <c r="E93" s="3" t="s">
        <v>30</v>
      </c>
      <c r="F93" s="3" t="s">
        <v>28</v>
      </c>
      <c r="G93" s="3" t="s">
        <v>14</v>
      </c>
      <c r="H93" s="3">
        <f>MONTH(Table1[[#This Row],[Date]])</f>
        <v>4</v>
      </c>
      <c r="I93" s="8">
        <f>WEEKDAY(Table1[[#This Row],[Date]])</f>
        <v>2</v>
      </c>
      <c r="J93" s="3">
        <f>(Table1[[#This Row],[Credit]]-Table1[[#This Row],[Debit]])</f>
        <v>-146.1</v>
      </c>
    </row>
    <row r="94" spans="1:10" x14ac:dyDescent="0.25">
      <c r="A94" s="7">
        <v>44292</v>
      </c>
      <c r="B94" s="3" t="s">
        <v>33</v>
      </c>
      <c r="C94" s="3">
        <v>24.1</v>
      </c>
      <c r="D94" s="3"/>
      <c r="E94" s="3" t="s">
        <v>34</v>
      </c>
      <c r="F94" s="3" t="s">
        <v>20</v>
      </c>
      <c r="G94" s="3" t="s">
        <v>14</v>
      </c>
      <c r="H94" s="3">
        <f>MONTH(Table1[[#This Row],[Date]])</f>
        <v>4</v>
      </c>
      <c r="I94" s="8">
        <f>WEEKDAY(Table1[[#This Row],[Date]])</f>
        <v>3</v>
      </c>
      <c r="J94" s="3">
        <f>(Table1[[#This Row],[Credit]]-Table1[[#This Row],[Debit]])</f>
        <v>-24.1</v>
      </c>
    </row>
    <row r="95" spans="1:10" x14ac:dyDescent="0.25">
      <c r="A95" s="7">
        <v>44293</v>
      </c>
      <c r="B95" s="3" t="s">
        <v>7</v>
      </c>
      <c r="C95" s="3"/>
      <c r="D95" s="3">
        <v>5000</v>
      </c>
      <c r="E95" s="3" t="s">
        <v>8</v>
      </c>
      <c r="F95" s="3" t="s">
        <v>9</v>
      </c>
      <c r="G95" s="3" t="s">
        <v>10</v>
      </c>
      <c r="H95" s="3">
        <f>MONTH(Table1[[#This Row],[Date]])</f>
        <v>4</v>
      </c>
      <c r="I95" s="8">
        <f>WEEKDAY(Table1[[#This Row],[Date]])</f>
        <v>4</v>
      </c>
      <c r="J95" s="3">
        <f>(Table1[[#This Row],[Credit]]-Table1[[#This Row],[Debit]])</f>
        <v>5000</v>
      </c>
    </row>
    <row r="96" spans="1:10" x14ac:dyDescent="0.25">
      <c r="A96" s="7">
        <v>44294</v>
      </c>
      <c r="B96" s="3" t="s">
        <v>11</v>
      </c>
      <c r="C96" s="3">
        <v>5</v>
      </c>
      <c r="D96" s="3"/>
      <c r="E96" s="3" t="s">
        <v>12</v>
      </c>
      <c r="F96" s="3" t="s">
        <v>13</v>
      </c>
      <c r="G96" s="3" t="s">
        <v>14</v>
      </c>
      <c r="H96" s="3">
        <f>MONTH(Table1[[#This Row],[Date]])</f>
        <v>4</v>
      </c>
      <c r="I96" s="8">
        <f>WEEKDAY(Table1[[#This Row],[Date]])</f>
        <v>5</v>
      </c>
      <c r="J96" s="3">
        <f>(Table1[[#This Row],[Credit]]-Table1[[#This Row],[Debit]])</f>
        <v>-5</v>
      </c>
    </row>
    <row r="97" spans="1:10" x14ac:dyDescent="0.25">
      <c r="A97" s="7">
        <v>44295</v>
      </c>
      <c r="B97" s="3" t="s">
        <v>15</v>
      </c>
      <c r="C97" s="3">
        <v>900</v>
      </c>
      <c r="D97" s="3"/>
      <c r="E97" s="3" t="s">
        <v>16</v>
      </c>
      <c r="F97" s="3" t="s">
        <v>17</v>
      </c>
      <c r="G97" s="3" t="s">
        <v>14</v>
      </c>
      <c r="H97" s="3">
        <f>MONTH(Table1[[#This Row],[Date]])</f>
        <v>4</v>
      </c>
      <c r="I97" s="8">
        <f>WEEKDAY(Table1[[#This Row],[Date]])</f>
        <v>6</v>
      </c>
      <c r="J97" s="3">
        <f>(Table1[[#This Row],[Credit]]-Table1[[#This Row],[Debit]])</f>
        <v>-900</v>
      </c>
    </row>
    <row r="98" spans="1:10" x14ac:dyDescent="0.25">
      <c r="A98" s="7">
        <v>44296</v>
      </c>
      <c r="B98" s="3" t="s">
        <v>18</v>
      </c>
      <c r="C98" s="3">
        <v>150</v>
      </c>
      <c r="D98" s="3"/>
      <c r="E98" s="3" t="s">
        <v>19</v>
      </c>
      <c r="F98" s="3" t="s">
        <v>20</v>
      </c>
      <c r="G98" s="3" t="s">
        <v>14</v>
      </c>
      <c r="H98" s="3">
        <f>MONTH(Table1[[#This Row],[Date]])</f>
        <v>4</v>
      </c>
      <c r="I98" s="8">
        <f>WEEKDAY(Table1[[#This Row],[Date]])</f>
        <v>7</v>
      </c>
      <c r="J98" s="3">
        <f>(Table1[[#This Row],[Credit]]-Table1[[#This Row],[Debit]])</f>
        <v>-150</v>
      </c>
    </row>
    <row r="99" spans="1:10" x14ac:dyDescent="0.25">
      <c r="A99" s="7">
        <v>44297</v>
      </c>
      <c r="B99" s="3" t="s">
        <v>11</v>
      </c>
      <c r="C99" s="3">
        <v>5</v>
      </c>
      <c r="D99" s="3"/>
      <c r="E99" s="3" t="s">
        <v>12</v>
      </c>
      <c r="F99" s="3" t="s">
        <v>13</v>
      </c>
      <c r="G99" s="3" t="s">
        <v>14</v>
      </c>
      <c r="H99" s="3">
        <f>MONTH(Table1[[#This Row],[Date]])</f>
        <v>4</v>
      </c>
      <c r="I99" s="8">
        <f>WEEKDAY(Table1[[#This Row],[Date]])</f>
        <v>1</v>
      </c>
      <c r="J99" s="3">
        <f>(Table1[[#This Row],[Credit]]-Table1[[#This Row],[Debit]])</f>
        <v>-5</v>
      </c>
    </row>
    <row r="100" spans="1:10" x14ac:dyDescent="0.25">
      <c r="A100" s="7">
        <v>44298</v>
      </c>
      <c r="B100" s="3" t="s">
        <v>11</v>
      </c>
      <c r="C100" s="3">
        <v>5</v>
      </c>
      <c r="D100" s="3"/>
      <c r="E100" s="3" t="s">
        <v>12</v>
      </c>
      <c r="F100" s="3" t="s">
        <v>13</v>
      </c>
      <c r="G100" s="3" t="s">
        <v>14</v>
      </c>
      <c r="H100" s="3">
        <f>MONTH(Table1[[#This Row],[Date]])</f>
        <v>4</v>
      </c>
      <c r="I100" s="8">
        <f>WEEKDAY(Table1[[#This Row],[Date]])</f>
        <v>2</v>
      </c>
      <c r="J100" s="3">
        <f>(Table1[[#This Row],[Credit]]-Table1[[#This Row],[Debit]])</f>
        <v>-5</v>
      </c>
    </row>
    <row r="101" spans="1:10" x14ac:dyDescent="0.25">
      <c r="A101" s="7">
        <v>44299</v>
      </c>
      <c r="B101" s="3" t="s">
        <v>11</v>
      </c>
      <c r="C101" s="3">
        <v>5</v>
      </c>
      <c r="D101" s="3"/>
      <c r="E101" s="3" t="s">
        <v>12</v>
      </c>
      <c r="F101" s="3" t="s">
        <v>13</v>
      </c>
      <c r="G101" s="3" t="s">
        <v>14</v>
      </c>
      <c r="H101" s="3">
        <f>MONTH(Table1[[#This Row],[Date]])</f>
        <v>4</v>
      </c>
      <c r="I101" s="8">
        <f>WEEKDAY(Table1[[#This Row],[Date]])</f>
        <v>3</v>
      </c>
      <c r="J101" s="3">
        <f>(Table1[[#This Row],[Credit]]-Table1[[#This Row],[Debit]])</f>
        <v>-5</v>
      </c>
    </row>
    <row r="102" spans="1:10" x14ac:dyDescent="0.25">
      <c r="A102" s="7">
        <v>44300</v>
      </c>
      <c r="B102" s="3" t="s">
        <v>11</v>
      </c>
      <c r="C102" s="3">
        <v>5</v>
      </c>
      <c r="D102" s="3"/>
      <c r="E102" s="3" t="s">
        <v>12</v>
      </c>
      <c r="F102" s="3" t="s">
        <v>13</v>
      </c>
      <c r="G102" s="3" t="s">
        <v>14</v>
      </c>
      <c r="H102" s="3">
        <f>MONTH(Table1[[#This Row],[Date]])</f>
        <v>4</v>
      </c>
      <c r="I102" s="8">
        <f>WEEKDAY(Table1[[#This Row],[Date]])</f>
        <v>4</v>
      </c>
      <c r="J102" s="3">
        <f>(Table1[[#This Row],[Credit]]-Table1[[#This Row],[Debit]])</f>
        <v>-5</v>
      </c>
    </row>
    <row r="103" spans="1:10" x14ac:dyDescent="0.25">
      <c r="A103" s="7">
        <v>44301</v>
      </c>
      <c r="B103" s="3" t="s">
        <v>21</v>
      </c>
      <c r="C103" s="3">
        <v>149</v>
      </c>
      <c r="D103" s="3"/>
      <c r="E103" s="3" t="s">
        <v>22</v>
      </c>
      <c r="F103" s="3" t="s">
        <v>17</v>
      </c>
      <c r="G103" s="3" t="s">
        <v>14</v>
      </c>
      <c r="H103" s="3">
        <f>MONTH(Table1[[#This Row],[Date]])</f>
        <v>4</v>
      </c>
      <c r="I103" s="8">
        <f>WEEKDAY(Table1[[#This Row],[Date]])</f>
        <v>5</v>
      </c>
      <c r="J103" s="3">
        <f>(Table1[[#This Row],[Credit]]-Table1[[#This Row],[Debit]])</f>
        <v>-149</v>
      </c>
    </row>
    <row r="104" spans="1:10" x14ac:dyDescent="0.25">
      <c r="A104" s="7">
        <v>44302</v>
      </c>
      <c r="B104" s="3" t="s">
        <v>23</v>
      </c>
      <c r="C104" s="3">
        <v>52.1</v>
      </c>
      <c r="D104" s="3"/>
      <c r="E104" s="3" t="s">
        <v>24</v>
      </c>
      <c r="F104" s="3" t="s">
        <v>17</v>
      </c>
      <c r="G104" s="3" t="s">
        <v>14</v>
      </c>
      <c r="H104" s="3">
        <f>MONTH(Table1[[#This Row],[Date]])</f>
        <v>4</v>
      </c>
      <c r="I104" s="8">
        <f>WEEKDAY(Table1[[#This Row],[Date]])</f>
        <v>6</v>
      </c>
      <c r="J104" s="3">
        <f>(Table1[[#This Row],[Credit]]-Table1[[#This Row],[Debit]])</f>
        <v>-52.1</v>
      </c>
    </row>
    <row r="105" spans="1:10" x14ac:dyDescent="0.25">
      <c r="A105" s="7">
        <v>44303</v>
      </c>
      <c r="B105" s="3" t="s">
        <v>11</v>
      </c>
      <c r="C105" s="3">
        <v>5</v>
      </c>
      <c r="D105" s="3"/>
      <c r="E105" s="3" t="s">
        <v>12</v>
      </c>
      <c r="F105" s="3" t="s">
        <v>13</v>
      </c>
      <c r="G105" s="3" t="s">
        <v>14</v>
      </c>
      <c r="H105" s="3">
        <f>MONTH(Table1[[#This Row],[Date]])</f>
        <v>4</v>
      </c>
      <c r="I105" s="8">
        <f>WEEKDAY(Table1[[#This Row],[Date]])</f>
        <v>7</v>
      </c>
      <c r="J105" s="3">
        <f>(Table1[[#This Row],[Credit]]-Table1[[#This Row],[Debit]])</f>
        <v>-5</v>
      </c>
    </row>
    <row r="106" spans="1:10" x14ac:dyDescent="0.25">
      <c r="A106" s="7">
        <v>44304</v>
      </c>
      <c r="B106" s="3" t="s">
        <v>11</v>
      </c>
      <c r="C106" s="3">
        <v>5</v>
      </c>
      <c r="D106" s="3"/>
      <c r="E106" s="3" t="s">
        <v>12</v>
      </c>
      <c r="F106" s="3" t="s">
        <v>13</v>
      </c>
      <c r="G106" s="3" t="s">
        <v>14</v>
      </c>
      <c r="H106" s="3">
        <f>MONTH(Table1[[#This Row],[Date]])</f>
        <v>4</v>
      </c>
      <c r="I106" s="8">
        <f>WEEKDAY(Table1[[#This Row],[Date]])</f>
        <v>1</v>
      </c>
      <c r="J106" s="3">
        <f>(Table1[[#This Row],[Credit]]-Table1[[#This Row],[Debit]])</f>
        <v>-5</v>
      </c>
    </row>
    <row r="107" spans="1:10" x14ac:dyDescent="0.25">
      <c r="A107" s="7">
        <v>44305</v>
      </c>
      <c r="B107" s="3" t="s">
        <v>25</v>
      </c>
      <c r="C107" s="3">
        <v>78.900000000000006</v>
      </c>
      <c r="D107" s="3"/>
      <c r="E107" s="3" t="s">
        <v>48</v>
      </c>
      <c r="F107" s="3" t="s">
        <v>20</v>
      </c>
      <c r="G107" s="3" t="s">
        <v>14</v>
      </c>
      <c r="H107" s="3">
        <f>MONTH(Table1[[#This Row],[Date]])</f>
        <v>4</v>
      </c>
      <c r="I107" s="8">
        <f>WEEKDAY(Table1[[#This Row],[Date]])</f>
        <v>2</v>
      </c>
      <c r="J107" s="3">
        <f>(Table1[[#This Row],[Credit]]-Table1[[#This Row],[Debit]])</f>
        <v>-78.900000000000006</v>
      </c>
    </row>
    <row r="108" spans="1:10" x14ac:dyDescent="0.25">
      <c r="A108" s="7">
        <v>44306</v>
      </c>
      <c r="B108" s="3" t="s">
        <v>11</v>
      </c>
      <c r="C108" s="3">
        <v>5</v>
      </c>
      <c r="D108" s="3"/>
      <c r="E108" s="3" t="s">
        <v>12</v>
      </c>
      <c r="F108" s="3" t="s">
        <v>13</v>
      </c>
      <c r="G108" s="3" t="s">
        <v>14</v>
      </c>
      <c r="H108" s="3">
        <f>MONTH(Table1[[#This Row],[Date]])</f>
        <v>4</v>
      </c>
      <c r="I108" s="8">
        <f>WEEKDAY(Table1[[#This Row],[Date]])</f>
        <v>3</v>
      </c>
      <c r="J108" s="3">
        <f>(Table1[[#This Row],[Credit]]-Table1[[#This Row],[Debit]])</f>
        <v>-5</v>
      </c>
    </row>
    <row r="109" spans="1:10" x14ac:dyDescent="0.25">
      <c r="A109" s="7">
        <v>44307</v>
      </c>
      <c r="B109" s="3" t="s">
        <v>11</v>
      </c>
      <c r="C109" s="3">
        <v>5</v>
      </c>
      <c r="D109" s="3"/>
      <c r="E109" s="3" t="s">
        <v>12</v>
      </c>
      <c r="F109" s="3" t="s">
        <v>13</v>
      </c>
      <c r="G109" s="3" t="s">
        <v>14</v>
      </c>
      <c r="H109" s="3">
        <f>MONTH(Table1[[#This Row],[Date]])</f>
        <v>4</v>
      </c>
      <c r="I109" s="8">
        <f>WEEKDAY(Table1[[#This Row],[Date]])</f>
        <v>4</v>
      </c>
      <c r="J109" s="3">
        <f>(Table1[[#This Row],[Credit]]-Table1[[#This Row],[Debit]])</f>
        <v>-5</v>
      </c>
    </row>
    <row r="110" spans="1:10" x14ac:dyDescent="0.25">
      <c r="A110" s="7">
        <v>44308</v>
      </c>
      <c r="B110" s="3" t="s">
        <v>21</v>
      </c>
      <c r="C110" s="3">
        <v>137</v>
      </c>
      <c r="D110" s="3"/>
      <c r="E110" s="3" t="s">
        <v>22</v>
      </c>
      <c r="F110" s="3" t="s">
        <v>17</v>
      </c>
      <c r="G110" s="3" t="s">
        <v>14</v>
      </c>
      <c r="H110" s="3">
        <f>MONTH(Table1[[#This Row],[Date]])</f>
        <v>4</v>
      </c>
      <c r="I110" s="8">
        <f>WEEKDAY(Table1[[#This Row],[Date]])</f>
        <v>5</v>
      </c>
      <c r="J110" s="3">
        <f>(Table1[[#This Row],[Credit]]-Table1[[#This Row],[Debit]])</f>
        <v>-137</v>
      </c>
    </row>
    <row r="111" spans="1:10" x14ac:dyDescent="0.25">
      <c r="A111" s="7">
        <v>44309</v>
      </c>
      <c r="B111" s="3" t="s">
        <v>11</v>
      </c>
      <c r="C111" s="3">
        <v>5</v>
      </c>
      <c r="D111" s="3"/>
      <c r="E111" s="3" t="s">
        <v>12</v>
      </c>
      <c r="F111" s="3" t="s">
        <v>13</v>
      </c>
      <c r="G111" s="3" t="s">
        <v>14</v>
      </c>
      <c r="H111" s="3">
        <f>MONTH(Table1[[#This Row],[Date]])</f>
        <v>4</v>
      </c>
      <c r="I111" s="8">
        <f>WEEKDAY(Table1[[#This Row],[Date]])</f>
        <v>6</v>
      </c>
      <c r="J111" s="3">
        <f>(Table1[[#This Row],[Credit]]-Table1[[#This Row],[Debit]])</f>
        <v>-5</v>
      </c>
    </row>
    <row r="112" spans="1:10" x14ac:dyDescent="0.25">
      <c r="A112" s="7">
        <v>44310</v>
      </c>
      <c r="B112" s="3" t="s">
        <v>11</v>
      </c>
      <c r="C112" s="3">
        <v>5</v>
      </c>
      <c r="D112" s="3"/>
      <c r="E112" s="3" t="s">
        <v>12</v>
      </c>
      <c r="F112" s="3" t="s">
        <v>13</v>
      </c>
      <c r="G112" s="3" t="s">
        <v>14</v>
      </c>
      <c r="H112" s="3">
        <f>MONTH(Table1[[#This Row],[Date]])</f>
        <v>4</v>
      </c>
      <c r="I112" s="8">
        <f>WEEKDAY(Table1[[#This Row],[Date]])</f>
        <v>7</v>
      </c>
      <c r="J112" s="3">
        <f>(Table1[[#This Row],[Credit]]-Table1[[#This Row],[Debit]])</f>
        <v>-5</v>
      </c>
    </row>
    <row r="113" spans="1:10" x14ac:dyDescent="0.25">
      <c r="A113" s="7">
        <v>44311</v>
      </c>
      <c r="B113" s="3" t="s">
        <v>26</v>
      </c>
      <c r="C113" s="3">
        <v>41.8</v>
      </c>
      <c r="D113" s="3"/>
      <c r="E113" s="3" t="s">
        <v>27</v>
      </c>
      <c r="F113" s="3" t="s">
        <v>28</v>
      </c>
      <c r="G113" s="3" t="s">
        <v>14</v>
      </c>
      <c r="H113" s="3">
        <f>MONTH(Table1[[#This Row],[Date]])</f>
        <v>4</v>
      </c>
      <c r="I113" s="8">
        <f>WEEKDAY(Table1[[#This Row],[Date]])</f>
        <v>1</v>
      </c>
      <c r="J113" s="3">
        <f>(Table1[[#This Row],[Credit]]-Table1[[#This Row],[Debit]])</f>
        <v>-41.8</v>
      </c>
    </row>
    <row r="114" spans="1:10" x14ac:dyDescent="0.25">
      <c r="A114" s="7">
        <v>44312</v>
      </c>
      <c r="B114" s="3" t="s">
        <v>29</v>
      </c>
      <c r="C114" s="3">
        <v>99.9</v>
      </c>
      <c r="D114" s="3"/>
      <c r="E114" s="3" t="s">
        <v>30</v>
      </c>
      <c r="F114" s="3" t="s">
        <v>28</v>
      </c>
      <c r="G114" s="3" t="s">
        <v>14</v>
      </c>
      <c r="H114" s="3">
        <f>MONTH(Table1[[#This Row],[Date]])</f>
        <v>4</v>
      </c>
      <c r="I114" s="8">
        <f>WEEKDAY(Table1[[#This Row],[Date]])</f>
        <v>2</v>
      </c>
      <c r="J114" s="3">
        <f>(Table1[[#This Row],[Credit]]-Table1[[#This Row],[Debit]])</f>
        <v>-99.9</v>
      </c>
    </row>
    <row r="115" spans="1:10" x14ac:dyDescent="0.25">
      <c r="A115" s="7">
        <v>44313</v>
      </c>
      <c r="B115" s="3" t="s">
        <v>31</v>
      </c>
      <c r="C115" s="3">
        <v>54</v>
      </c>
      <c r="D115" s="3"/>
      <c r="E115" s="3" t="s">
        <v>32</v>
      </c>
      <c r="F115" s="3" t="s">
        <v>13</v>
      </c>
      <c r="G115" s="3" t="s">
        <v>14</v>
      </c>
      <c r="H115" s="3">
        <f>MONTH(Table1[[#This Row],[Date]])</f>
        <v>4</v>
      </c>
      <c r="I115" s="8">
        <f>WEEKDAY(Table1[[#This Row],[Date]])</f>
        <v>3</v>
      </c>
      <c r="J115" s="3">
        <f>(Table1[[#This Row],[Credit]]-Table1[[#This Row],[Debit]])</f>
        <v>-54</v>
      </c>
    </row>
    <row r="116" spans="1:10" x14ac:dyDescent="0.25">
      <c r="A116" s="7">
        <v>44314</v>
      </c>
      <c r="B116" s="3" t="s">
        <v>33</v>
      </c>
      <c r="C116" s="3">
        <v>30</v>
      </c>
      <c r="D116" s="3"/>
      <c r="E116" s="3" t="s">
        <v>34</v>
      </c>
      <c r="F116" s="3" t="s">
        <v>20</v>
      </c>
      <c r="G116" s="3" t="s">
        <v>14</v>
      </c>
      <c r="H116" s="3">
        <f>MONTH(Table1[[#This Row],[Date]])</f>
        <v>4</v>
      </c>
      <c r="I116" s="8">
        <f>WEEKDAY(Table1[[#This Row],[Date]])</f>
        <v>4</v>
      </c>
      <c r="J116" s="3">
        <f>(Table1[[#This Row],[Credit]]-Table1[[#This Row],[Debit]])</f>
        <v>-30</v>
      </c>
    </row>
    <row r="117" spans="1:10" x14ac:dyDescent="0.25">
      <c r="A117" s="7">
        <v>44315</v>
      </c>
      <c r="B117" s="3" t="s">
        <v>35</v>
      </c>
      <c r="C117" s="3"/>
      <c r="D117" s="3">
        <v>1000</v>
      </c>
      <c r="E117" s="3" t="s">
        <v>36</v>
      </c>
      <c r="F117" s="3" t="s">
        <v>37</v>
      </c>
      <c r="G117" s="3" t="s">
        <v>10</v>
      </c>
      <c r="H117" s="3">
        <f>MONTH(Table1[[#This Row],[Date]])</f>
        <v>4</v>
      </c>
      <c r="I117" s="8">
        <f>WEEKDAY(Table1[[#This Row],[Date]])</f>
        <v>5</v>
      </c>
      <c r="J117" s="3">
        <f>(Table1[[#This Row],[Credit]]-Table1[[#This Row],[Debit]])</f>
        <v>1000</v>
      </c>
    </row>
    <row r="118" spans="1:10" x14ac:dyDescent="0.25">
      <c r="A118" s="7">
        <v>44316</v>
      </c>
      <c r="B118" s="3" t="s">
        <v>11</v>
      </c>
      <c r="C118" s="3">
        <v>5</v>
      </c>
      <c r="D118" s="3"/>
      <c r="E118" s="3" t="s">
        <v>12</v>
      </c>
      <c r="F118" s="3" t="s">
        <v>13</v>
      </c>
      <c r="G118" s="3" t="s">
        <v>14</v>
      </c>
      <c r="H118" s="3">
        <f>MONTH(Table1[[#This Row],[Date]])</f>
        <v>4</v>
      </c>
      <c r="I118" s="8">
        <f>WEEKDAY(Table1[[#This Row],[Date]])</f>
        <v>6</v>
      </c>
      <c r="J118" s="3">
        <f>(Table1[[#This Row],[Credit]]-Table1[[#This Row],[Debit]])</f>
        <v>-5</v>
      </c>
    </row>
    <row r="119" spans="1:10" x14ac:dyDescent="0.25">
      <c r="A119" s="7">
        <v>44317</v>
      </c>
      <c r="B119" s="3" t="s">
        <v>11</v>
      </c>
      <c r="C119" s="3">
        <v>5</v>
      </c>
      <c r="D119" s="3"/>
      <c r="E119" s="3" t="s">
        <v>12</v>
      </c>
      <c r="F119" s="3" t="s">
        <v>13</v>
      </c>
      <c r="G119" s="3" t="s">
        <v>14</v>
      </c>
      <c r="H119" s="3">
        <f>MONTH(Table1[[#This Row],[Date]])</f>
        <v>5</v>
      </c>
      <c r="I119" s="8">
        <f>WEEKDAY(Table1[[#This Row],[Date]])</f>
        <v>7</v>
      </c>
      <c r="J119" s="3">
        <f>(Table1[[#This Row],[Credit]]-Table1[[#This Row],[Debit]])</f>
        <v>-5</v>
      </c>
    </row>
    <row r="120" spans="1:10" x14ac:dyDescent="0.25">
      <c r="A120" s="7">
        <v>44318</v>
      </c>
      <c r="B120" s="3" t="s">
        <v>52</v>
      </c>
      <c r="C120" s="3">
        <v>75</v>
      </c>
      <c r="D120" s="3"/>
      <c r="E120" s="3" t="s">
        <v>53</v>
      </c>
      <c r="F120" s="3" t="s">
        <v>54</v>
      </c>
      <c r="G120" s="3" t="s">
        <v>14</v>
      </c>
      <c r="H120" s="3">
        <f>MONTH(Table1[[#This Row],[Date]])</f>
        <v>5</v>
      </c>
      <c r="I120" s="8">
        <f>WEEKDAY(Table1[[#This Row],[Date]])</f>
        <v>1</v>
      </c>
      <c r="J120" s="3">
        <f>(Table1[[#This Row],[Credit]]-Table1[[#This Row],[Debit]])</f>
        <v>-75</v>
      </c>
    </row>
    <row r="121" spans="1:10" x14ac:dyDescent="0.25">
      <c r="A121" s="7">
        <v>44319</v>
      </c>
      <c r="B121" s="3" t="s">
        <v>39</v>
      </c>
      <c r="C121" s="3">
        <v>40</v>
      </c>
      <c r="D121" s="3"/>
      <c r="E121" s="3" t="s">
        <v>39</v>
      </c>
      <c r="F121" s="3" t="s">
        <v>17</v>
      </c>
      <c r="G121" s="3" t="s">
        <v>14</v>
      </c>
      <c r="H121" s="3">
        <f>MONTH(Table1[[#This Row],[Date]])</f>
        <v>5</v>
      </c>
      <c r="I121" s="8">
        <f>WEEKDAY(Table1[[#This Row],[Date]])</f>
        <v>2</v>
      </c>
      <c r="J121" s="3">
        <f>(Table1[[#This Row],[Credit]]-Table1[[#This Row],[Debit]])</f>
        <v>-40</v>
      </c>
    </row>
    <row r="122" spans="1:10" x14ac:dyDescent="0.25">
      <c r="A122" s="7">
        <v>44320</v>
      </c>
      <c r="B122" s="3" t="s">
        <v>40</v>
      </c>
      <c r="C122" s="3">
        <v>46.8</v>
      </c>
      <c r="D122" s="3"/>
      <c r="E122" s="3" t="s">
        <v>41</v>
      </c>
      <c r="F122" s="3" t="s">
        <v>28</v>
      </c>
      <c r="G122" s="3" t="s">
        <v>14</v>
      </c>
      <c r="H122" s="3">
        <f>MONTH(Table1[[#This Row],[Date]])</f>
        <v>5</v>
      </c>
      <c r="I122" s="8">
        <f>WEEKDAY(Table1[[#This Row],[Date]])</f>
        <v>3</v>
      </c>
      <c r="J122" s="3">
        <f>(Table1[[#This Row],[Credit]]-Table1[[#This Row],[Debit]])</f>
        <v>-46.8</v>
      </c>
    </row>
    <row r="123" spans="1:10" x14ac:dyDescent="0.25">
      <c r="A123" s="7">
        <v>44321</v>
      </c>
      <c r="B123" s="3" t="s">
        <v>42</v>
      </c>
      <c r="C123" s="3">
        <v>35</v>
      </c>
      <c r="D123" s="3"/>
      <c r="E123" s="3" t="s">
        <v>27</v>
      </c>
      <c r="F123" s="3" t="s">
        <v>28</v>
      </c>
      <c r="G123" s="3" t="s">
        <v>14</v>
      </c>
      <c r="H123" s="3">
        <f>MONTH(Table1[[#This Row],[Date]])</f>
        <v>5</v>
      </c>
      <c r="I123" s="8">
        <f>WEEKDAY(Table1[[#This Row],[Date]])</f>
        <v>4</v>
      </c>
      <c r="J123" s="3">
        <f>(Table1[[#This Row],[Credit]]-Table1[[#This Row],[Debit]])</f>
        <v>-35</v>
      </c>
    </row>
    <row r="124" spans="1:10" x14ac:dyDescent="0.25">
      <c r="A124" s="7">
        <v>44322</v>
      </c>
      <c r="B124" s="3" t="s">
        <v>11</v>
      </c>
      <c r="C124" s="3">
        <v>5</v>
      </c>
      <c r="D124" s="3"/>
      <c r="E124" s="3" t="s">
        <v>12</v>
      </c>
      <c r="F124" s="3" t="s">
        <v>13</v>
      </c>
      <c r="G124" s="3" t="s">
        <v>14</v>
      </c>
      <c r="H124" s="3">
        <f>MONTH(Table1[[#This Row],[Date]])</f>
        <v>5</v>
      </c>
      <c r="I124" s="8">
        <f>WEEKDAY(Table1[[#This Row],[Date]])</f>
        <v>5</v>
      </c>
      <c r="J124" s="3">
        <f>(Table1[[#This Row],[Credit]]-Table1[[#This Row],[Debit]])</f>
        <v>-5</v>
      </c>
    </row>
    <row r="125" spans="1:10" x14ac:dyDescent="0.25">
      <c r="A125" s="7">
        <v>44323</v>
      </c>
      <c r="B125" s="3" t="s">
        <v>11</v>
      </c>
      <c r="C125" s="3">
        <v>5</v>
      </c>
      <c r="D125" s="3"/>
      <c r="E125" s="3" t="s">
        <v>12</v>
      </c>
      <c r="F125" s="3" t="s">
        <v>13</v>
      </c>
      <c r="G125" s="3" t="s">
        <v>14</v>
      </c>
      <c r="H125" s="3">
        <f>MONTH(Table1[[#This Row],[Date]])</f>
        <v>5</v>
      </c>
      <c r="I125" s="8">
        <f>WEEKDAY(Table1[[#This Row],[Date]])</f>
        <v>6</v>
      </c>
      <c r="J125" s="3">
        <f>(Table1[[#This Row],[Credit]]-Table1[[#This Row],[Debit]])</f>
        <v>-5</v>
      </c>
    </row>
    <row r="126" spans="1:10" x14ac:dyDescent="0.25">
      <c r="A126" s="7">
        <v>44324</v>
      </c>
      <c r="B126" s="3" t="s">
        <v>11</v>
      </c>
      <c r="C126" s="3">
        <v>5</v>
      </c>
      <c r="D126" s="3"/>
      <c r="E126" s="3" t="s">
        <v>12</v>
      </c>
      <c r="F126" s="3" t="s">
        <v>13</v>
      </c>
      <c r="G126" s="3" t="s">
        <v>14</v>
      </c>
      <c r="H126" s="3">
        <f>MONTH(Table1[[#This Row],[Date]])</f>
        <v>5</v>
      </c>
      <c r="I126" s="8">
        <f>WEEKDAY(Table1[[#This Row],[Date]])</f>
        <v>7</v>
      </c>
      <c r="J126" s="3">
        <f>(Table1[[#This Row],[Credit]]-Table1[[#This Row],[Debit]])</f>
        <v>-5</v>
      </c>
    </row>
    <row r="127" spans="1:10" x14ac:dyDescent="0.25">
      <c r="A127" s="7">
        <v>44325</v>
      </c>
      <c r="B127" s="3" t="s">
        <v>21</v>
      </c>
      <c r="C127" s="3">
        <v>171.9</v>
      </c>
      <c r="D127" s="3"/>
      <c r="E127" s="3" t="s">
        <v>22</v>
      </c>
      <c r="F127" s="3" t="s">
        <v>17</v>
      </c>
      <c r="G127" s="3" t="s">
        <v>14</v>
      </c>
      <c r="H127" s="3">
        <f>MONTH(Table1[[#This Row],[Date]])</f>
        <v>5</v>
      </c>
      <c r="I127" s="8">
        <f>WEEKDAY(Table1[[#This Row],[Date]])</f>
        <v>1</v>
      </c>
      <c r="J127" s="3">
        <f>(Table1[[#This Row],[Credit]]-Table1[[#This Row],[Debit]])</f>
        <v>-171.9</v>
      </c>
    </row>
    <row r="128" spans="1:10" x14ac:dyDescent="0.25">
      <c r="A128" s="7">
        <v>44326</v>
      </c>
      <c r="B128" s="3" t="s">
        <v>43</v>
      </c>
      <c r="C128" s="3">
        <v>39</v>
      </c>
      <c r="D128" s="3"/>
      <c r="E128" s="3" t="s">
        <v>32</v>
      </c>
      <c r="F128" s="3" t="s">
        <v>13</v>
      </c>
      <c r="G128" s="3" t="s">
        <v>14</v>
      </c>
      <c r="H128" s="3">
        <f>MONTH(Table1[[#This Row],[Date]])</f>
        <v>5</v>
      </c>
      <c r="I128" s="8">
        <f>WEEKDAY(Table1[[#This Row],[Date]])</f>
        <v>2</v>
      </c>
      <c r="J128" s="3">
        <f>(Table1[[#This Row],[Credit]]-Table1[[#This Row],[Debit]])</f>
        <v>-39</v>
      </c>
    </row>
    <row r="129" spans="1:10" x14ac:dyDescent="0.25">
      <c r="A129" s="7">
        <v>44327</v>
      </c>
      <c r="B129" s="3" t="s">
        <v>44</v>
      </c>
      <c r="C129" s="3">
        <v>14</v>
      </c>
      <c r="D129" s="3"/>
      <c r="E129" s="3" t="s">
        <v>32</v>
      </c>
      <c r="F129" s="3" t="s">
        <v>13</v>
      </c>
      <c r="G129" s="3" t="s">
        <v>14</v>
      </c>
      <c r="H129" s="3">
        <f>MONTH(Table1[[#This Row],[Date]])</f>
        <v>5</v>
      </c>
      <c r="I129" s="8">
        <f>WEEKDAY(Table1[[#This Row],[Date]])</f>
        <v>3</v>
      </c>
      <c r="J129" s="3">
        <f>(Table1[[#This Row],[Credit]]-Table1[[#This Row],[Debit]])</f>
        <v>-14</v>
      </c>
    </row>
    <row r="130" spans="1:10" x14ac:dyDescent="0.25">
      <c r="A130" s="7">
        <v>44328</v>
      </c>
      <c r="B130" s="3" t="s">
        <v>45</v>
      </c>
      <c r="C130" s="3">
        <v>55</v>
      </c>
      <c r="D130" s="3"/>
      <c r="E130" s="3" t="s">
        <v>46</v>
      </c>
      <c r="F130" s="3" t="s">
        <v>47</v>
      </c>
      <c r="G130" s="3" t="s">
        <v>14</v>
      </c>
      <c r="H130" s="3">
        <f>MONTH(Table1[[#This Row],[Date]])</f>
        <v>5</v>
      </c>
      <c r="I130" s="8">
        <f>WEEKDAY(Table1[[#This Row],[Date]])</f>
        <v>4</v>
      </c>
      <c r="J130" s="3">
        <f>(Table1[[#This Row],[Credit]]-Table1[[#This Row],[Debit]])</f>
        <v>-55</v>
      </c>
    </row>
    <row r="131" spans="1:10" x14ac:dyDescent="0.25">
      <c r="A131" s="7">
        <v>44329</v>
      </c>
      <c r="B131" s="3" t="s">
        <v>25</v>
      </c>
      <c r="C131" s="3">
        <v>65</v>
      </c>
      <c r="D131" s="3"/>
      <c r="E131" s="3" t="s">
        <v>48</v>
      </c>
      <c r="F131" s="3" t="s">
        <v>20</v>
      </c>
      <c r="G131" s="3" t="s">
        <v>14</v>
      </c>
      <c r="H131" s="3">
        <f>MONTH(Table1[[#This Row],[Date]])</f>
        <v>5</v>
      </c>
      <c r="I131" s="8">
        <f>WEEKDAY(Table1[[#This Row],[Date]])</f>
        <v>5</v>
      </c>
      <c r="J131" s="3">
        <f>(Table1[[#This Row],[Credit]]-Table1[[#This Row],[Debit]])</f>
        <v>-65</v>
      </c>
    </row>
    <row r="132" spans="1:10" x14ac:dyDescent="0.25">
      <c r="A132" s="7">
        <v>44330</v>
      </c>
      <c r="B132" s="3" t="s">
        <v>11</v>
      </c>
      <c r="C132" s="3">
        <v>5</v>
      </c>
      <c r="D132" s="3"/>
      <c r="E132" s="3" t="s">
        <v>12</v>
      </c>
      <c r="F132" s="3" t="s">
        <v>13</v>
      </c>
      <c r="G132" s="3" t="s">
        <v>14</v>
      </c>
      <c r="H132" s="3">
        <f>MONTH(Table1[[#This Row],[Date]])</f>
        <v>5</v>
      </c>
      <c r="I132" s="8">
        <f>WEEKDAY(Table1[[#This Row],[Date]])</f>
        <v>6</v>
      </c>
      <c r="J132" s="3">
        <f>(Table1[[#This Row],[Credit]]-Table1[[#This Row],[Debit]])</f>
        <v>-5</v>
      </c>
    </row>
    <row r="133" spans="1:10" x14ac:dyDescent="0.25">
      <c r="A133" s="7">
        <v>44331</v>
      </c>
      <c r="B133" s="3" t="s">
        <v>11</v>
      </c>
      <c r="C133" s="3">
        <v>5</v>
      </c>
      <c r="D133" s="3"/>
      <c r="E133" s="3" t="s">
        <v>12</v>
      </c>
      <c r="F133" s="3" t="s">
        <v>13</v>
      </c>
      <c r="G133" s="3" t="s">
        <v>14</v>
      </c>
      <c r="H133" s="3">
        <f>MONTH(Table1[[#This Row],[Date]])</f>
        <v>5</v>
      </c>
      <c r="I133" s="8">
        <f>WEEKDAY(Table1[[#This Row],[Date]])</f>
        <v>7</v>
      </c>
      <c r="J133" s="3">
        <f>(Table1[[#This Row],[Credit]]-Table1[[#This Row],[Debit]])</f>
        <v>-5</v>
      </c>
    </row>
    <row r="134" spans="1:10" x14ac:dyDescent="0.25">
      <c r="A134" s="7">
        <v>44332</v>
      </c>
      <c r="B134" s="3" t="s">
        <v>11</v>
      </c>
      <c r="C134" s="3">
        <v>5</v>
      </c>
      <c r="D134" s="3"/>
      <c r="E134" s="3" t="s">
        <v>12</v>
      </c>
      <c r="F134" s="3" t="s">
        <v>13</v>
      </c>
      <c r="G134" s="3" t="s">
        <v>14</v>
      </c>
      <c r="H134" s="3">
        <f>MONTH(Table1[[#This Row],[Date]])</f>
        <v>5</v>
      </c>
      <c r="I134" s="8">
        <f>WEEKDAY(Table1[[#This Row],[Date]])</f>
        <v>1</v>
      </c>
      <c r="J134" s="3">
        <f>(Table1[[#This Row],[Credit]]-Table1[[#This Row],[Debit]])</f>
        <v>-5</v>
      </c>
    </row>
    <row r="135" spans="1:10" x14ac:dyDescent="0.25">
      <c r="A135" s="7">
        <v>44333</v>
      </c>
      <c r="B135" s="3" t="s">
        <v>11</v>
      </c>
      <c r="C135" s="3">
        <v>5</v>
      </c>
      <c r="D135" s="3"/>
      <c r="E135" s="3" t="s">
        <v>12</v>
      </c>
      <c r="F135" s="3" t="s">
        <v>13</v>
      </c>
      <c r="G135" s="3" t="s">
        <v>14</v>
      </c>
      <c r="H135" s="3">
        <f>MONTH(Table1[[#This Row],[Date]])</f>
        <v>5</v>
      </c>
      <c r="I135" s="8">
        <f>WEEKDAY(Table1[[#This Row],[Date]])</f>
        <v>2</v>
      </c>
      <c r="J135" s="3">
        <f>(Table1[[#This Row],[Credit]]-Table1[[#This Row],[Debit]])</f>
        <v>-5</v>
      </c>
    </row>
    <row r="136" spans="1:10" x14ac:dyDescent="0.25">
      <c r="A136" s="7">
        <v>44334</v>
      </c>
      <c r="B136" s="3" t="s">
        <v>11</v>
      </c>
      <c r="C136" s="3">
        <v>5</v>
      </c>
      <c r="D136" s="3"/>
      <c r="E136" s="3" t="s">
        <v>12</v>
      </c>
      <c r="F136" s="3" t="s">
        <v>13</v>
      </c>
      <c r="G136" s="3" t="s">
        <v>14</v>
      </c>
      <c r="H136" s="3">
        <f>MONTH(Table1[[#This Row],[Date]])</f>
        <v>5</v>
      </c>
      <c r="I136" s="8">
        <f>WEEKDAY(Table1[[#This Row],[Date]])</f>
        <v>3</v>
      </c>
      <c r="J136" s="3">
        <f>(Table1[[#This Row],[Credit]]-Table1[[#This Row],[Debit]])</f>
        <v>-5</v>
      </c>
    </row>
    <row r="137" spans="1:10" x14ac:dyDescent="0.25">
      <c r="A137" s="7">
        <v>44335</v>
      </c>
      <c r="B137" s="3" t="s">
        <v>21</v>
      </c>
      <c r="C137" s="3">
        <v>209</v>
      </c>
      <c r="D137" s="3"/>
      <c r="E137" s="3" t="s">
        <v>22</v>
      </c>
      <c r="F137" s="3" t="s">
        <v>17</v>
      </c>
      <c r="G137" s="3" t="s">
        <v>14</v>
      </c>
      <c r="H137" s="3">
        <f>MONTH(Table1[[#This Row],[Date]])</f>
        <v>5</v>
      </c>
      <c r="I137" s="8">
        <f>WEEKDAY(Table1[[#This Row],[Date]])</f>
        <v>4</v>
      </c>
      <c r="J137" s="3">
        <f>(Table1[[#This Row],[Credit]]-Table1[[#This Row],[Debit]])</f>
        <v>-209</v>
      </c>
    </row>
    <row r="138" spans="1:10" x14ac:dyDescent="0.25">
      <c r="A138" s="7">
        <v>44336</v>
      </c>
      <c r="B138" s="3" t="s">
        <v>49</v>
      </c>
      <c r="C138" s="3">
        <v>127</v>
      </c>
      <c r="D138" s="3"/>
      <c r="E138" s="3" t="s">
        <v>30</v>
      </c>
      <c r="F138" s="3" t="s">
        <v>28</v>
      </c>
      <c r="G138" s="3" t="s">
        <v>14</v>
      </c>
      <c r="H138" s="3">
        <f>MONTH(Table1[[#This Row],[Date]])</f>
        <v>5</v>
      </c>
      <c r="I138" s="8">
        <f>WEEKDAY(Table1[[#This Row],[Date]])</f>
        <v>5</v>
      </c>
      <c r="J138" s="3">
        <f>(Table1[[#This Row],[Credit]]-Table1[[#This Row],[Debit]])</f>
        <v>-127</v>
      </c>
    </row>
    <row r="139" spans="1:10" x14ac:dyDescent="0.25">
      <c r="A139" s="7">
        <v>44337</v>
      </c>
      <c r="B139" s="3" t="s">
        <v>55</v>
      </c>
      <c r="C139" s="3">
        <v>177.2</v>
      </c>
      <c r="D139" s="3"/>
      <c r="E139" s="3" t="s">
        <v>30</v>
      </c>
      <c r="F139" s="3" t="s">
        <v>28</v>
      </c>
      <c r="G139" s="3" t="s">
        <v>14</v>
      </c>
      <c r="H139" s="3">
        <f>MONTH(Table1[[#This Row],[Date]])</f>
        <v>5</v>
      </c>
      <c r="I139" s="8">
        <f>WEEKDAY(Table1[[#This Row],[Date]])</f>
        <v>6</v>
      </c>
      <c r="J139" s="3">
        <f>(Table1[[#This Row],[Credit]]-Table1[[#This Row],[Debit]])</f>
        <v>-177.2</v>
      </c>
    </row>
    <row r="140" spans="1:10" x14ac:dyDescent="0.25">
      <c r="A140" s="7">
        <v>44338</v>
      </c>
      <c r="B140" s="3" t="s">
        <v>29</v>
      </c>
      <c r="C140" s="3">
        <v>147.1</v>
      </c>
      <c r="D140" s="3"/>
      <c r="E140" s="3" t="s">
        <v>30</v>
      </c>
      <c r="F140" s="3" t="s">
        <v>28</v>
      </c>
      <c r="G140" s="3" t="s">
        <v>14</v>
      </c>
      <c r="H140" s="3">
        <f>MONTH(Table1[[#This Row],[Date]])</f>
        <v>5</v>
      </c>
      <c r="I140" s="8">
        <f>WEEKDAY(Table1[[#This Row],[Date]])</f>
        <v>7</v>
      </c>
      <c r="J140" s="3">
        <f>(Table1[[#This Row],[Credit]]-Table1[[#This Row],[Debit]])</f>
        <v>-147.1</v>
      </c>
    </row>
    <row r="141" spans="1:10" x14ac:dyDescent="0.25">
      <c r="A141" s="7">
        <v>44339</v>
      </c>
      <c r="B141" s="3" t="s">
        <v>33</v>
      </c>
      <c r="C141" s="3">
        <v>25</v>
      </c>
      <c r="D141" s="3"/>
      <c r="E141" s="3" t="s">
        <v>34</v>
      </c>
      <c r="F141" s="3" t="s">
        <v>20</v>
      </c>
      <c r="G141" s="3" t="s">
        <v>14</v>
      </c>
      <c r="H141" s="3">
        <f>MONTH(Table1[[#This Row],[Date]])</f>
        <v>5</v>
      </c>
      <c r="I141" s="8">
        <f>WEEKDAY(Table1[[#This Row],[Date]])</f>
        <v>1</v>
      </c>
      <c r="J141" s="3">
        <f>(Table1[[#This Row],[Credit]]-Table1[[#This Row],[Debit]])</f>
        <v>-25</v>
      </c>
    </row>
    <row r="142" spans="1:10" x14ac:dyDescent="0.25">
      <c r="A142" s="7">
        <v>44340</v>
      </c>
      <c r="B142" s="3" t="s">
        <v>56</v>
      </c>
      <c r="C142" s="3">
        <v>15</v>
      </c>
      <c r="D142" s="3"/>
      <c r="E142" s="3" t="s">
        <v>32</v>
      </c>
      <c r="F142" s="3" t="s">
        <v>13</v>
      </c>
      <c r="G142" s="3" t="s">
        <v>14</v>
      </c>
      <c r="H142" s="3">
        <f>MONTH(Table1[[#This Row],[Date]])</f>
        <v>5</v>
      </c>
      <c r="I142" s="8">
        <f>WEEKDAY(Table1[[#This Row],[Date]])</f>
        <v>2</v>
      </c>
      <c r="J142" s="3">
        <f>(Table1[[#This Row],[Credit]]-Table1[[#This Row],[Debit]])</f>
        <v>-15</v>
      </c>
    </row>
    <row r="143" spans="1:10" x14ac:dyDescent="0.25">
      <c r="A143" s="7">
        <v>44341</v>
      </c>
      <c r="B143" s="3" t="s">
        <v>11</v>
      </c>
      <c r="C143" s="3">
        <v>5</v>
      </c>
      <c r="D143" s="3"/>
      <c r="E143" s="3" t="s">
        <v>12</v>
      </c>
      <c r="F143" s="3" t="s">
        <v>13</v>
      </c>
      <c r="G143" s="3" t="s">
        <v>14</v>
      </c>
      <c r="H143" s="3">
        <f>MONTH(Table1[[#This Row],[Date]])</f>
        <v>5</v>
      </c>
      <c r="I143" s="8">
        <f>WEEKDAY(Table1[[#This Row],[Date]])</f>
        <v>3</v>
      </c>
      <c r="J143" s="3">
        <f>(Table1[[#This Row],[Credit]]-Table1[[#This Row],[Debit]])</f>
        <v>-5</v>
      </c>
    </row>
    <row r="144" spans="1:10" x14ac:dyDescent="0.25">
      <c r="A144" s="7">
        <v>44342</v>
      </c>
      <c r="B144" s="3" t="s">
        <v>11</v>
      </c>
      <c r="C144" s="3">
        <v>5</v>
      </c>
      <c r="D144" s="3"/>
      <c r="E144" s="3" t="s">
        <v>12</v>
      </c>
      <c r="F144" s="3" t="s">
        <v>13</v>
      </c>
      <c r="G144" s="3" t="s">
        <v>14</v>
      </c>
      <c r="H144" s="3">
        <f>MONTH(Table1[[#This Row],[Date]])</f>
        <v>5</v>
      </c>
      <c r="I144" s="8">
        <f>WEEKDAY(Table1[[#This Row],[Date]])</f>
        <v>4</v>
      </c>
      <c r="J144" s="3">
        <f>(Table1[[#This Row],[Credit]]-Table1[[#This Row],[Debit]])</f>
        <v>-5</v>
      </c>
    </row>
    <row r="145" spans="1:10" x14ac:dyDescent="0.25">
      <c r="A145" s="7">
        <v>44343</v>
      </c>
      <c r="B145" s="3" t="s">
        <v>7</v>
      </c>
      <c r="C145" s="3"/>
      <c r="D145" s="3">
        <v>5000</v>
      </c>
      <c r="E145" s="3" t="s">
        <v>8</v>
      </c>
      <c r="F145" s="3" t="s">
        <v>9</v>
      </c>
      <c r="G145" s="3" t="s">
        <v>10</v>
      </c>
      <c r="H145" s="3">
        <f>MONTH(Table1[[#This Row],[Date]])</f>
        <v>5</v>
      </c>
      <c r="I145" s="8">
        <f>WEEKDAY(Table1[[#This Row],[Date]])</f>
        <v>5</v>
      </c>
      <c r="J145" s="3">
        <f>(Table1[[#This Row],[Credit]]-Table1[[#This Row],[Debit]])</f>
        <v>5000</v>
      </c>
    </row>
    <row r="146" spans="1:10" x14ac:dyDescent="0.25">
      <c r="A146" s="7">
        <v>44344</v>
      </c>
      <c r="B146" s="3" t="s">
        <v>11</v>
      </c>
      <c r="C146" s="3">
        <v>5</v>
      </c>
      <c r="D146" s="3"/>
      <c r="E146" s="3" t="s">
        <v>12</v>
      </c>
      <c r="F146" s="3" t="s">
        <v>13</v>
      </c>
      <c r="G146" s="3" t="s">
        <v>14</v>
      </c>
      <c r="H146" s="3">
        <f>MONTH(Table1[[#This Row],[Date]])</f>
        <v>5</v>
      </c>
      <c r="I146" s="8">
        <f>WEEKDAY(Table1[[#This Row],[Date]])</f>
        <v>6</v>
      </c>
      <c r="J146" s="3">
        <f>(Table1[[#This Row],[Credit]]-Table1[[#This Row],[Debit]])</f>
        <v>-5</v>
      </c>
    </row>
    <row r="147" spans="1:10" x14ac:dyDescent="0.25">
      <c r="A147" s="7">
        <v>44345</v>
      </c>
      <c r="B147" s="3" t="s">
        <v>15</v>
      </c>
      <c r="C147" s="3">
        <v>900</v>
      </c>
      <c r="D147" s="3"/>
      <c r="E147" s="3" t="s">
        <v>16</v>
      </c>
      <c r="F147" s="3" t="s">
        <v>17</v>
      </c>
      <c r="G147" s="3" t="s">
        <v>14</v>
      </c>
      <c r="H147" s="3">
        <f>MONTH(Table1[[#This Row],[Date]])</f>
        <v>5</v>
      </c>
      <c r="I147" s="8">
        <f>WEEKDAY(Table1[[#This Row],[Date]])</f>
        <v>7</v>
      </c>
      <c r="J147" s="3">
        <f>(Table1[[#This Row],[Credit]]-Table1[[#This Row],[Debit]])</f>
        <v>-900</v>
      </c>
    </row>
    <row r="148" spans="1:10" x14ac:dyDescent="0.25">
      <c r="A148" s="7">
        <v>44346</v>
      </c>
      <c r="B148" s="3" t="s">
        <v>18</v>
      </c>
      <c r="C148" s="3">
        <v>150</v>
      </c>
      <c r="D148" s="3"/>
      <c r="E148" s="3" t="s">
        <v>19</v>
      </c>
      <c r="F148" s="3" t="s">
        <v>20</v>
      </c>
      <c r="G148" s="3" t="s">
        <v>14</v>
      </c>
      <c r="H148" s="3">
        <f>MONTH(Table1[[#This Row],[Date]])</f>
        <v>5</v>
      </c>
      <c r="I148" s="8">
        <f>WEEKDAY(Table1[[#This Row],[Date]])</f>
        <v>1</v>
      </c>
      <c r="J148" s="3">
        <f>(Table1[[#This Row],[Credit]]-Table1[[#This Row],[Debit]])</f>
        <v>-150</v>
      </c>
    </row>
    <row r="149" spans="1:10" x14ac:dyDescent="0.25">
      <c r="A149" s="7">
        <v>44347</v>
      </c>
      <c r="B149" s="3" t="s">
        <v>11</v>
      </c>
      <c r="C149" s="3">
        <v>5</v>
      </c>
      <c r="D149" s="3"/>
      <c r="E149" s="3" t="s">
        <v>12</v>
      </c>
      <c r="F149" s="3" t="s">
        <v>13</v>
      </c>
      <c r="G149" s="3" t="s">
        <v>14</v>
      </c>
      <c r="H149" s="3">
        <f>MONTH(Table1[[#This Row],[Date]])</f>
        <v>5</v>
      </c>
      <c r="I149" s="8">
        <f>WEEKDAY(Table1[[#This Row],[Date]])</f>
        <v>2</v>
      </c>
      <c r="J149" s="3">
        <f>(Table1[[#This Row],[Credit]]-Table1[[#This Row],[Debit]])</f>
        <v>-5</v>
      </c>
    </row>
    <row r="150" spans="1:10" x14ac:dyDescent="0.25">
      <c r="A150" s="7">
        <v>44348</v>
      </c>
      <c r="B150" s="3" t="s">
        <v>11</v>
      </c>
      <c r="C150" s="3">
        <v>5</v>
      </c>
      <c r="D150" s="3"/>
      <c r="E150" s="3" t="s">
        <v>12</v>
      </c>
      <c r="F150" s="3" t="s">
        <v>13</v>
      </c>
      <c r="G150" s="3" t="s">
        <v>14</v>
      </c>
      <c r="H150" s="3">
        <f>MONTH(Table1[[#This Row],[Date]])</f>
        <v>6</v>
      </c>
      <c r="I150" s="8">
        <f>WEEKDAY(Table1[[#This Row],[Date]])</f>
        <v>3</v>
      </c>
      <c r="J150" s="3">
        <f>(Table1[[#This Row],[Credit]]-Table1[[#This Row],[Debit]])</f>
        <v>-5</v>
      </c>
    </row>
    <row r="151" spans="1:10" x14ac:dyDescent="0.25">
      <c r="A151" s="7">
        <v>44349</v>
      </c>
      <c r="B151" s="3" t="s">
        <v>11</v>
      </c>
      <c r="C151" s="3">
        <v>5</v>
      </c>
      <c r="D151" s="3"/>
      <c r="E151" s="3" t="s">
        <v>12</v>
      </c>
      <c r="F151" s="3" t="s">
        <v>13</v>
      </c>
      <c r="G151" s="3" t="s">
        <v>14</v>
      </c>
      <c r="H151" s="3">
        <f>MONTH(Table1[[#This Row],[Date]])</f>
        <v>6</v>
      </c>
      <c r="I151" s="8">
        <f>WEEKDAY(Table1[[#This Row],[Date]])</f>
        <v>4</v>
      </c>
      <c r="J151" s="3">
        <f>(Table1[[#This Row],[Credit]]-Table1[[#This Row],[Debit]])</f>
        <v>-5</v>
      </c>
    </row>
    <row r="152" spans="1:10" x14ac:dyDescent="0.25">
      <c r="A152" s="7">
        <v>44350</v>
      </c>
      <c r="B152" s="3" t="s">
        <v>11</v>
      </c>
      <c r="C152" s="3">
        <v>5</v>
      </c>
      <c r="D152" s="3"/>
      <c r="E152" s="3" t="s">
        <v>12</v>
      </c>
      <c r="F152" s="3" t="s">
        <v>13</v>
      </c>
      <c r="G152" s="3" t="s">
        <v>14</v>
      </c>
      <c r="H152" s="3">
        <f>MONTH(Table1[[#This Row],[Date]])</f>
        <v>6</v>
      </c>
      <c r="I152" s="8">
        <f>WEEKDAY(Table1[[#This Row],[Date]])</f>
        <v>5</v>
      </c>
      <c r="J152" s="3">
        <f>(Table1[[#This Row],[Credit]]-Table1[[#This Row],[Debit]])</f>
        <v>-5</v>
      </c>
    </row>
    <row r="153" spans="1:10" x14ac:dyDescent="0.25">
      <c r="A153" s="7">
        <v>44351</v>
      </c>
      <c r="B153" s="3" t="s">
        <v>21</v>
      </c>
      <c r="C153" s="3">
        <v>158.19999999999999</v>
      </c>
      <c r="D153" s="3"/>
      <c r="E153" s="3" t="s">
        <v>22</v>
      </c>
      <c r="F153" s="3" t="s">
        <v>17</v>
      </c>
      <c r="G153" s="3" t="s">
        <v>14</v>
      </c>
      <c r="H153" s="3">
        <f>MONTH(Table1[[#This Row],[Date]])</f>
        <v>6</v>
      </c>
      <c r="I153" s="8">
        <f>WEEKDAY(Table1[[#This Row],[Date]])</f>
        <v>6</v>
      </c>
      <c r="J153" s="3">
        <f>(Table1[[#This Row],[Credit]]-Table1[[#This Row],[Debit]])</f>
        <v>-158.19999999999999</v>
      </c>
    </row>
    <row r="154" spans="1:10" x14ac:dyDescent="0.25">
      <c r="A154" s="7">
        <v>44352</v>
      </c>
      <c r="B154" s="3" t="s">
        <v>23</v>
      </c>
      <c r="C154" s="3">
        <v>53.2</v>
      </c>
      <c r="D154" s="3"/>
      <c r="E154" s="3" t="s">
        <v>24</v>
      </c>
      <c r="F154" s="3" t="s">
        <v>17</v>
      </c>
      <c r="G154" s="3" t="s">
        <v>14</v>
      </c>
      <c r="H154" s="3">
        <f>MONTH(Table1[[#This Row],[Date]])</f>
        <v>6</v>
      </c>
      <c r="I154" s="8">
        <f>WEEKDAY(Table1[[#This Row],[Date]])</f>
        <v>7</v>
      </c>
      <c r="J154" s="3">
        <f>(Table1[[#This Row],[Credit]]-Table1[[#This Row],[Debit]])</f>
        <v>-53.2</v>
      </c>
    </row>
    <row r="155" spans="1:10" x14ac:dyDescent="0.25">
      <c r="A155" s="7">
        <v>44353</v>
      </c>
      <c r="B155" s="3" t="s">
        <v>11</v>
      </c>
      <c r="C155" s="3">
        <v>5</v>
      </c>
      <c r="D155" s="3"/>
      <c r="E155" s="3" t="s">
        <v>12</v>
      </c>
      <c r="F155" s="3" t="s">
        <v>13</v>
      </c>
      <c r="G155" s="3" t="s">
        <v>14</v>
      </c>
      <c r="H155" s="3">
        <f>MONTH(Table1[[#This Row],[Date]])</f>
        <v>6</v>
      </c>
      <c r="I155" s="8">
        <f>WEEKDAY(Table1[[#This Row],[Date]])</f>
        <v>1</v>
      </c>
      <c r="J155" s="3">
        <f>(Table1[[#This Row],[Credit]]-Table1[[#This Row],[Debit]])</f>
        <v>-5</v>
      </c>
    </row>
    <row r="156" spans="1:10" x14ac:dyDescent="0.25">
      <c r="A156" s="7">
        <v>44354</v>
      </c>
      <c r="B156" s="3" t="s">
        <v>11</v>
      </c>
      <c r="C156" s="3">
        <v>5</v>
      </c>
      <c r="D156" s="3"/>
      <c r="E156" s="3" t="s">
        <v>12</v>
      </c>
      <c r="F156" s="3" t="s">
        <v>13</v>
      </c>
      <c r="G156" s="3" t="s">
        <v>14</v>
      </c>
      <c r="H156" s="3">
        <f>MONTH(Table1[[#This Row],[Date]])</f>
        <v>6</v>
      </c>
      <c r="I156" s="8">
        <f>WEEKDAY(Table1[[#This Row],[Date]])</f>
        <v>2</v>
      </c>
      <c r="J156" s="3">
        <f>(Table1[[#This Row],[Credit]]-Table1[[#This Row],[Debit]])</f>
        <v>-5</v>
      </c>
    </row>
    <row r="157" spans="1:10" x14ac:dyDescent="0.25">
      <c r="A157" s="7">
        <v>44355</v>
      </c>
      <c r="B157" s="3" t="s">
        <v>25</v>
      </c>
      <c r="C157" s="3">
        <v>79.900000000000006</v>
      </c>
      <c r="D157" s="3"/>
      <c r="E157" s="3" t="s">
        <v>48</v>
      </c>
      <c r="F157" s="3" t="s">
        <v>20</v>
      </c>
      <c r="G157" s="3" t="s">
        <v>14</v>
      </c>
      <c r="H157" s="3">
        <f>MONTH(Table1[[#This Row],[Date]])</f>
        <v>6</v>
      </c>
      <c r="I157" s="8">
        <f>WEEKDAY(Table1[[#This Row],[Date]])</f>
        <v>3</v>
      </c>
      <c r="J157" s="3">
        <f>(Table1[[#This Row],[Credit]]-Table1[[#This Row],[Debit]])</f>
        <v>-79.900000000000006</v>
      </c>
    </row>
    <row r="158" spans="1:10" x14ac:dyDescent="0.25">
      <c r="A158" s="7">
        <v>44356</v>
      </c>
      <c r="B158" s="3" t="s">
        <v>11</v>
      </c>
      <c r="C158" s="3">
        <v>5</v>
      </c>
      <c r="D158" s="3"/>
      <c r="E158" s="3" t="s">
        <v>12</v>
      </c>
      <c r="F158" s="3" t="s">
        <v>13</v>
      </c>
      <c r="G158" s="3" t="s">
        <v>14</v>
      </c>
      <c r="H158" s="3">
        <f>MONTH(Table1[[#This Row],[Date]])</f>
        <v>6</v>
      </c>
      <c r="I158" s="8">
        <f>WEEKDAY(Table1[[#This Row],[Date]])</f>
        <v>4</v>
      </c>
      <c r="J158" s="3">
        <f>(Table1[[#This Row],[Credit]]-Table1[[#This Row],[Debit]])</f>
        <v>-5</v>
      </c>
    </row>
    <row r="159" spans="1:10" x14ac:dyDescent="0.25">
      <c r="A159" s="7">
        <v>44357</v>
      </c>
      <c r="B159" s="3" t="s">
        <v>11</v>
      </c>
      <c r="C159" s="3">
        <v>5</v>
      </c>
      <c r="D159" s="3"/>
      <c r="E159" s="3" t="s">
        <v>12</v>
      </c>
      <c r="F159" s="3" t="s">
        <v>13</v>
      </c>
      <c r="G159" s="3" t="s">
        <v>14</v>
      </c>
      <c r="H159" s="3">
        <f>MONTH(Table1[[#This Row],[Date]])</f>
        <v>6</v>
      </c>
      <c r="I159" s="8">
        <f>WEEKDAY(Table1[[#This Row],[Date]])</f>
        <v>5</v>
      </c>
      <c r="J159" s="3">
        <f>(Table1[[#This Row],[Credit]]-Table1[[#This Row],[Debit]])</f>
        <v>-5</v>
      </c>
    </row>
    <row r="160" spans="1:10" x14ac:dyDescent="0.25">
      <c r="A160" s="7">
        <v>44358</v>
      </c>
      <c r="B160" s="3" t="s">
        <v>21</v>
      </c>
      <c r="C160" s="3">
        <v>98</v>
      </c>
      <c r="D160" s="3"/>
      <c r="E160" s="3" t="s">
        <v>22</v>
      </c>
      <c r="F160" s="3" t="s">
        <v>17</v>
      </c>
      <c r="G160" s="3" t="s">
        <v>14</v>
      </c>
      <c r="H160" s="3">
        <f>MONTH(Table1[[#This Row],[Date]])</f>
        <v>6</v>
      </c>
      <c r="I160" s="8">
        <f>WEEKDAY(Table1[[#This Row],[Date]])</f>
        <v>6</v>
      </c>
      <c r="J160" s="3">
        <f>(Table1[[#This Row],[Credit]]-Table1[[#This Row],[Debit]])</f>
        <v>-98</v>
      </c>
    </row>
    <row r="161" spans="1:10" x14ac:dyDescent="0.25">
      <c r="A161" s="7">
        <v>44359</v>
      </c>
      <c r="B161" s="3" t="s">
        <v>11</v>
      </c>
      <c r="C161" s="3">
        <v>5</v>
      </c>
      <c r="D161" s="3"/>
      <c r="E161" s="3" t="s">
        <v>12</v>
      </c>
      <c r="F161" s="3" t="s">
        <v>13</v>
      </c>
      <c r="G161" s="3" t="s">
        <v>14</v>
      </c>
      <c r="H161" s="3">
        <f>MONTH(Table1[[#This Row],[Date]])</f>
        <v>6</v>
      </c>
      <c r="I161" s="8">
        <f>WEEKDAY(Table1[[#This Row],[Date]])</f>
        <v>7</v>
      </c>
      <c r="J161" s="3">
        <f>(Table1[[#This Row],[Credit]]-Table1[[#This Row],[Debit]])</f>
        <v>-5</v>
      </c>
    </row>
    <row r="162" spans="1:10" x14ac:dyDescent="0.25">
      <c r="A162" s="7">
        <v>44360</v>
      </c>
      <c r="B162" s="3" t="s">
        <v>11</v>
      </c>
      <c r="C162" s="3">
        <v>5</v>
      </c>
      <c r="D162" s="3"/>
      <c r="E162" s="3" t="s">
        <v>12</v>
      </c>
      <c r="F162" s="3" t="s">
        <v>13</v>
      </c>
      <c r="G162" s="3" t="s">
        <v>14</v>
      </c>
      <c r="H162" s="3">
        <f>MONTH(Table1[[#This Row],[Date]])</f>
        <v>6</v>
      </c>
      <c r="I162" s="8">
        <f>WEEKDAY(Table1[[#This Row],[Date]])</f>
        <v>1</v>
      </c>
      <c r="J162" s="3">
        <f>(Table1[[#This Row],[Credit]]-Table1[[#This Row],[Debit]])</f>
        <v>-5</v>
      </c>
    </row>
    <row r="163" spans="1:10" x14ac:dyDescent="0.25">
      <c r="A163" s="7">
        <v>44361</v>
      </c>
      <c r="B163" s="3" t="s">
        <v>26</v>
      </c>
      <c r="C163" s="3">
        <v>42.8</v>
      </c>
      <c r="D163" s="3"/>
      <c r="E163" s="3" t="s">
        <v>27</v>
      </c>
      <c r="F163" s="3" t="s">
        <v>28</v>
      </c>
      <c r="G163" s="3" t="s">
        <v>14</v>
      </c>
      <c r="H163" s="3">
        <f>MONTH(Table1[[#This Row],[Date]])</f>
        <v>6</v>
      </c>
      <c r="I163" s="8">
        <f>WEEKDAY(Table1[[#This Row],[Date]])</f>
        <v>2</v>
      </c>
      <c r="J163" s="3">
        <f>(Table1[[#This Row],[Credit]]-Table1[[#This Row],[Debit]])</f>
        <v>-42.8</v>
      </c>
    </row>
    <row r="164" spans="1:10" x14ac:dyDescent="0.25">
      <c r="A164" s="7">
        <v>44362</v>
      </c>
      <c r="B164" s="3" t="s">
        <v>29</v>
      </c>
      <c r="C164" s="3">
        <v>100.9</v>
      </c>
      <c r="D164" s="3"/>
      <c r="E164" s="3" t="s">
        <v>30</v>
      </c>
      <c r="F164" s="3" t="s">
        <v>28</v>
      </c>
      <c r="G164" s="3" t="s">
        <v>14</v>
      </c>
      <c r="H164" s="3">
        <f>MONTH(Table1[[#This Row],[Date]])</f>
        <v>6</v>
      </c>
      <c r="I164" s="8">
        <f>WEEKDAY(Table1[[#This Row],[Date]])</f>
        <v>3</v>
      </c>
      <c r="J164" s="3">
        <f>(Table1[[#This Row],[Credit]]-Table1[[#This Row],[Debit]])</f>
        <v>-100.9</v>
      </c>
    </row>
    <row r="165" spans="1:10" x14ac:dyDescent="0.25">
      <c r="A165" s="7">
        <v>44363</v>
      </c>
      <c r="B165" s="3" t="s">
        <v>31</v>
      </c>
      <c r="C165" s="3">
        <v>54.9</v>
      </c>
      <c r="D165" s="3"/>
      <c r="E165" s="3" t="s">
        <v>32</v>
      </c>
      <c r="F165" s="3" t="s">
        <v>13</v>
      </c>
      <c r="G165" s="3" t="s">
        <v>14</v>
      </c>
      <c r="H165" s="3">
        <f>MONTH(Table1[[#This Row],[Date]])</f>
        <v>6</v>
      </c>
      <c r="I165" s="8">
        <f>WEEKDAY(Table1[[#This Row],[Date]])</f>
        <v>4</v>
      </c>
      <c r="J165" s="3">
        <f>(Table1[[#This Row],[Credit]]-Table1[[#This Row],[Debit]])</f>
        <v>-54.9</v>
      </c>
    </row>
    <row r="166" spans="1:10" x14ac:dyDescent="0.25">
      <c r="A166" s="7">
        <v>44364</v>
      </c>
      <c r="B166" s="3" t="s">
        <v>33</v>
      </c>
      <c r="C166" s="3">
        <v>31</v>
      </c>
      <c r="D166" s="3"/>
      <c r="E166" s="3" t="s">
        <v>34</v>
      </c>
      <c r="F166" s="3" t="s">
        <v>20</v>
      </c>
      <c r="G166" s="3" t="s">
        <v>14</v>
      </c>
      <c r="H166" s="3">
        <f>MONTH(Table1[[#This Row],[Date]])</f>
        <v>6</v>
      </c>
      <c r="I166" s="8">
        <f>WEEKDAY(Table1[[#This Row],[Date]])</f>
        <v>5</v>
      </c>
      <c r="J166" s="3">
        <f>(Table1[[#This Row],[Credit]]-Table1[[#This Row],[Debit]])</f>
        <v>-31</v>
      </c>
    </row>
    <row r="167" spans="1:10" x14ac:dyDescent="0.25">
      <c r="A167" s="7">
        <v>44365</v>
      </c>
      <c r="B167" s="3" t="s">
        <v>35</v>
      </c>
      <c r="C167" s="3"/>
      <c r="D167" s="3">
        <v>2340</v>
      </c>
      <c r="E167" s="3" t="s">
        <v>36</v>
      </c>
      <c r="F167" s="3" t="s">
        <v>37</v>
      </c>
      <c r="G167" s="3" t="s">
        <v>10</v>
      </c>
      <c r="H167" s="3">
        <f>MONTH(Table1[[#This Row],[Date]])</f>
        <v>6</v>
      </c>
      <c r="I167" s="8">
        <f>WEEKDAY(Table1[[#This Row],[Date]])</f>
        <v>6</v>
      </c>
      <c r="J167" s="3">
        <f>(Table1[[#This Row],[Credit]]-Table1[[#This Row],[Debit]])</f>
        <v>2340</v>
      </c>
    </row>
    <row r="168" spans="1:10" x14ac:dyDescent="0.25">
      <c r="A168" s="7">
        <v>44366</v>
      </c>
      <c r="B168" s="3" t="s">
        <v>11</v>
      </c>
      <c r="C168" s="3">
        <v>5</v>
      </c>
      <c r="D168" s="3"/>
      <c r="E168" s="3" t="s">
        <v>12</v>
      </c>
      <c r="F168" s="3" t="s">
        <v>13</v>
      </c>
      <c r="G168" s="3" t="s">
        <v>14</v>
      </c>
      <c r="H168" s="3">
        <f>MONTH(Table1[[#This Row],[Date]])</f>
        <v>6</v>
      </c>
      <c r="I168" s="8">
        <f>WEEKDAY(Table1[[#This Row],[Date]])</f>
        <v>7</v>
      </c>
      <c r="J168" s="3">
        <f>(Table1[[#This Row],[Credit]]-Table1[[#This Row],[Debit]])</f>
        <v>-5</v>
      </c>
    </row>
    <row r="169" spans="1:10" x14ac:dyDescent="0.25">
      <c r="A169" s="7">
        <v>44367</v>
      </c>
      <c r="B169" s="3" t="s">
        <v>11</v>
      </c>
      <c r="C169" s="3">
        <v>5</v>
      </c>
      <c r="D169" s="3"/>
      <c r="E169" s="3" t="s">
        <v>12</v>
      </c>
      <c r="F169" s="3" t="s">
        <v>13</v>
      </c>
      <c r="G169" s="3" t="s">
        <v>14</v>
      </c>
      <c r="H169" s="3">
        <f>MONTH(Table1[[#This Row],[Date]])</f>
        <v>6</v>
      </c>
      <c r="I169" s="8">
        <f>WEEKDAY(Table1[[#This Row],[Date]])</f>
        <v>1</v>
      </c>
      <c r="J169" s="3">
        <f>(Table1[[#This Row],[Credit]]-Table1[[#This Row],[Debit]])</f>
        <v>-5</v>
      </c>
    </row>
    <row r="170" spans="1:10" x14ac:dyDescent="0.25">
      <c r="A170" s="7">
        <v>44368</v>
      </c>
      <c r="B170" s="3" t="s">
        <v>39</v>
      </c>
      <c r="C170" s="3">
        <v>40</v>
      </c>
      <c r="D170" s="3"/>
      <c r="E170" s="3" t="s">
        <v>39</v>
      </c>
      <c r="F170" s="3" t="s">
        <v>17</v>
      </c>
      <c r="G170" s="3" t="s">
        <v>14</v>
      </c>
      <c r="H170" s="3">
        <f>MONTH(Table1[[#This Row],[Date]])</f>
        <v>6</v>
      </c>
      <c r="I170" s="8">
        <f>WEEKDAY(Table1[[#This Row],[Date]])</f>
        <v>2</v>
      </c>
      <c r="J170" s="3">
        <f>(Table1[[#This Row],[Credit]]-Table1[[#This Row],[Debit]])</f>
        <v>-40</v>
      </c>
    </row>
    <row r="171" spans="1:10" x14ac:dyDescent="0.25">
      <c r="A171" s="7">
        <v>44369</v>
      </c>
      <c r="B171" s="3" t="s">
        <v>40</v>
      </c>
      <c r="C171" s="3">
        <v>47.9</v>
      </c>
      <c r="D171" s="3"/>
      <c r="E171" s="3" t="s">
        <v>41</v>
      </c>
      <c r="F171" s="3" t="s">
        <v>28</v>
      </c>
      <c r="G171" s="3" t="s">
        <v>14</v>
      </c>
      <c r="H171" s="3">
        <f>MONTH(Table1[[#This Row],[Date]])</f>
        <v>6</v>
      </c>
      <c r="I171" s="8">
        <f>WEEKDAY(Table1[[#This Row],[Date]])</f>
        <v>3</v>
      </c>
      <c r="J171" s="3">
        <f>(Table1[[#This Row],[Credit]]-Table1[[#This Row],[Debit]])</f>
        <v>-47.9</v>
      </c>
    </row>
    <row r="172" spans="1:10" x14ac:dyDescent="0.25">
      <c r="A172" s="7">
        <v>44370</v>
      </c>
      <c r="B172" s="3" t="s">
        <v>42</v>
      </c>
      <c r="C172" s="3">
        <v>35</v>
      </c>
      <c r="D172" s="3"/>
      <c r="E172" s="3" t="s">
        <v>27</v>
      </c>
      <c r="F172" s="3" t="s">
        <v>28</v>
      </c>
      <c r="G172" s="3" t="s">
        <v>14</v>
      </c>
      <c r="H172" s="3">
        <f>MONTH(Table1[[#This Row],[Date]])</f>
        <v>6</v>
      </c>
      <c r="I172" s="8">
        <f>WEEKDAY(Table1[[#This Row],[Date]])</f>
        <v>4</v>
      </c>
      <c r="J172" s="3">
        <f>(Table1[[#This Row],[Credit]]-Table1[[#This Row],[Debit]])</f>
        <v>-35</v>
      </c>
    </row>
    <row r="173" spans="1:10" x14ac:dyDescent="0.25">
      <c r="A173" s="7">
        <v>44371</v>
      </c>
      <c r="B173" s="3" t="s">
        <v>11</v>
      </c>
      <c r="C173" s="3">
        <v>5</v>
      </c>
      <c r="D173" s="3"/>
      <c r="E173" s="3" t="s">
        <v>12</v>
      </c>
      <c r="F173" s="3" t="s">
        <v>13</v>
      </c>
      <c r="G173" s="3" t="s">
        <v>14</v>
      </c>
      <c r="H173" s="3">
        <f>MONTH(Table1[[#This Row],[Date]])</f>
        <v>6</v>
      </c>
      <c r="I173" s="8">
        <f>WEEKDAY(Table1[[#This Row],[Date]])</f>
        <v>5</v>
      </c>
      <c r="J173" s="3">
        <f>(Table1[[#This Row],[Credit]]-Table1[[#This Row],[Debit]])</f>
        <v>-5</v>
      </c>
    </row>
    <row r="174" spans="1:10" x14ac:dyDescent="0.25">
      <c r="A174" s="7">
        <v>44372</v>
      </c>
      <c r="B174" s="3" t="s">
        <v>11</v>
      </c>
      <c r="C174" s="3">
        <v>5</v>
      </c>
      <c r="D174" s="3"/>
      <c r="E174" s="3" t="s">
        <v>12</v>
      </c>
      <c r="F174" s="3" t="s">
        <v>13</v>
      </c>
      <c r="G174" s="3" t="s">
        <v>14</v>
      </c>
      <c r="H174" s="3">
        <f>MONTH(Table1[[#This Row],[Date]])</f>
        <v>6</v>
      </c>
      <c r="I174" s="8">
        <f>WEEKDAY(Table1[[#This Row],[Date]])</f>
        <v>6</v>
      </c>
      <c r="J174" s="3">
        <f>(Table1[[#This Row],[Credit]]-Table1[[#This Row],[Debit]])</f>
        <v>-5</v>
      </c>
    </row>
    <row r="175" spans="1:10" x14ac:dyDescent="0.25">
      <c r="A175" s="7">
        <v>44373</v>
      </c>
      <c r="B175" s="3" t="s">
        <v>11</v>
      </c>
      <c r="C175" s="3">
        <v>5</v>
      </c>
      <c r="D175" s="3"/>
      <c r="E175" s="3" t="s">
        <v>12</v>
      </c>
      <c r="F175" s="3" t="s">
        <v>13</v>
      </c>
      <c r="G175" s="3" t="s">
        <v>14</v>
      </c>
      <c r="H175" s="3">
        <f>MONTH(Table1[[#This Row],[Date]])</f>
        <v>6</v>
      </c>
      <c r="I175" s="8">
        <f>WEEKDAY(Table1[[#This Row],[Date]])</f>
        <v>7</v>
      </c>
      <c r="J175" s="3">
        <f>(Table1[[#This Row],[Credit]]-Table1[[#This Row],[Debit]])</f>
        <v>-5</v>
      </c>
    </row>
    <row r="176" spans="1:10" x14ac:dyDescent="0.25">
      <c r="A176" s="7">
        <v>44374</v>
      </c>
      <c r="B176" s="3" t="s">
        <v>21</v>
      </c>
      <c r="C176" s="3">
        <v>173</v>
      </c>
      <c r="D176" s="3"/>
      <c r="E176" s="3" t="s">
        <v>22</v>
      </c>
      <c r="F176" s="3" t="s">
        <v>17</v>
      </c>
      <c r="G176" s="3" t="s">
        <v>14</v>
      </c>
      <c r="H176" s="3">
        <f>MONTH(Table1[[#This Row],[Date]])</f>
        <v>6</v>
      </c>
      <c r="I176" s="8">
        <f>WEEKDAY(Table1[[#This Row],[Date]])</f>
        <v>1</v>
      </c>
      <c r="J176" s="3">
        <f>(Table1[[#This Row],[Credit]]-Table1[[#This Row],[Debit]])</f>
        <v>-173</v>
      </c>
    </row>
    <row r="177" spans="1:10" x14ac:dyDescent="0.25">
      <c r="A177" s="7">
        <v>44375</v>
      </c>
      <c r="B177" s="3" t="s">
        <v>43</v>
      </c>
      <c r="C177" s="3">
        <v>40.1</v>
      </c>
      <c r="D177" s="3"/>
      <c r="E177" s="3" t="s">
        <v>32</v>
      </c>
      <c r="F177" s="3" t="s">
        <v>13</v>
      </c>
      <c r="G177" s="3" t="s">
        <v>14</v>
      </c>
      <c r="H177" s="3">
        <f>MONTH(Table1[[#This Row],[Date]])</f>
        <v>6</v>
      </c>
      <c r="I177" s="8">
        <f>WEEKDAY(Table1[[#This Row],[Date]])</f>
        <v>2</v>
      </c>
      <c r="J177" s="3">
        <f>(Table1[[#This Row],[Credit]]-Table1[[#This Row],[Debit]])</f>
        <v>-40.1</v>
      </c>
    </row>
    <row r="178" spans="1:10" x14ac:dyDescent="0.25">
      <c r="A178" s="7">
        <v>44376</v>
      </c>
      <c r="B178" s="3" t="s">
        <v>44</v>
      </c>
      <c r="C178" s="3">
        <v>15.1</v>
      </c>
      <c r="D178" s="3"/>
      <c r="E178" s="3" t="s">
        <v>32</v>
      </c>
      <c r="F178" s="3" t="s">
        <v>13</v>
      </c>
      <c r="G178" s="3" t="s">
        <v>14</v>
      </c>
      <c r="H178" s="3">
        <f>MONTH(Table1[[#This Row],[Date]])</f>
        <v>6</v>
      </c>
      <c r="I178" s="8">
        <f>WEEKDAY(Table1[[#This Row],[Date]])</f>
        <v>3</v>
      </c>
      <c r="J178" s="3">
        <f>(Table1[[#This Row],[Credit]]-Table1[[#This Row],[Debit]])</f>
        <v>-15.1</v>
      </c>
    </row>
    <row r="179" spans="1:10" x14ac:dyDescent="0.25">
      <c r="A179" s="7">
        <v>44377</v>
      </c>
      <c r="B179" s="3" t="s">
        <v>45</v>
      </c>
      <c r="C179" s="3">
        <v>55</v>
      </c>
      <c r="D179" s="3"/>
      <c r="E179" s="3" t="s">
        <v>46</v>
      </c>
      <c r="F179" s="3" t="s">
        <v>47</v>
      </c>
      <c r="G179" s="3" t="s">
        <v>14</v>
      </c>
      <c r="H179" s="3">
        <f>MONTH(Table1[[#This Row],[Date]])</f>
        <v>6</v>
      </c>
      <c r="I179" s="8">
        <f>WEEKDAY(Table1[[#This Row],[Date]])</f>
        <v>4</v>
      </c>
      <c r="J179" s="3">
        <f>(Table1[[#This Row],[Credit]]-Table1[[#This Row],[Debit]])</f>
        <v>-55</v>
      </c>
    </row>
    <row r="180" spans="1:10" x14ac:dyDescent="0.25">
      <c r="A180" s="7">
        <v>44378</v>
      </c>
      <c r="B180" s="3" t="s">
        <v>25</v>
      </c>
      <c r="C180" s="3">
        <v>66</v>
      </c>
      <c r="D180" s="3"/>
      <c r="E180" s="3" t="s">
        <v>48</v>
      </c>
      <c r="F180" s="3" t="s">
        <v>20</v>
      </c>
      <c r="G180" s="3" t="s">
        <v>14</v>
      </c>
      <c r="H180" s="3">
        <f>MONTH(Table1[[#This Row],[Date]])</f>
        <v>7</v>
      </c>
      <c r="I180" s="8">
        <f>WEEKDAY(Table1[[#This Row],[Date]])</f>
        <v>5</v>
      </c>
      <c r="J180" s="3">
        <f>(Table1[[#This Row],[Credit]]-Table1[[#This Row],[Debit]])</f>
        <v>-66</v>
      </c>
    </row>
    <row r="181" spans="1:10" x14ac:dyDescent="0.25">
      <c r="A181" s="7">
        <v>44379</v>
      </c>
      <c r="B181" s="3" t="s">
        <v>11</v>
      </c>
      <c r="C181" s="3">
        <v>5</v>
      </c>
      <c r="D181" s="3"/>
      <c r="E181" s="3" t="s">
        <v>12</v>
      </c>
      <c r="F181" s="3" t="s">
        <v>13</v>
      </c>
      <c r="G181" s="3" t="s">
        <v>14</v>
      </c>
      <c r="H181" s="3">
        <f>MONTH(Table1[[#This Row],[Date]])</f>
        <v>7</v>
      </c>
      <c r="I181" s="8">
        <f>WEEKDAY(Table1[[#This Row],[Date]])</f>
        <v>6</v>
      </c>
      <c r="J181" s="3">
        <f>(Table1[[#This Row],[Credit]]-Table1[[#This Row],[Debit]])</f>
        <v>-5</v>
      </c>
    </row>
    <row r="182" spans="1:10" x14ac:dyDescent="0.25">
      <c r="A182" s="7">
        <v>44380</v>
      </c>
      <c r="B182" s="3" t="s">
        <v>11</v>
      </c>
      <c r="C182" s="3">
        <v>5</v>
      </c>
      <c r="D182" s="3"/>
      <c r="E182" s="3" t="s">
        <v>12</v>
      </c>
      <c r="F182" s="3" t="s">
        <v>13</v>
      </c>
      <c r="G182" s="3" t="s">
        <v>14</v>
      </c>
      <c r="H182" s="3">
        <f>MONTH(Table1[[#This Row],[Date]])</f>
        <v>7</v>
      </c>
      <c r="I182" s="8">
        <f>WEEKDAY(Table1[[#This Row],[Date]])</f>
        <v>7</v>
      </c>
      <c r="J182" s="3">
        <f>(Table1[[#This Row],[Credit]]-Table1[[#This Row],[Debit]])</f>
        <v>-5</v>
      </c>
    </row>
    <row r="183" spans="1:10" x14ac:dyDescent="0.25">
      <c r="A183" s="7">
        <v>44381</v>
      </c>
      <c r="B183" s="3" t="s">
        <v>11</v>
      </c>
      <c r="C183" s="3">
        <v>5</v>
      </c>
      <c r="D183" s="3"/>
      <c r="E183" s="3" t="s">
        <v>12</v>
      </c>
      <c r="F183" s="3" t="s">
        <v>13</v>
      </c>
      <c r="G183" s="3" t="s">
        <v>14</v>
      </c>
      <c r="H183" s="3">
        <f>MONTH(Table1[[#This Row],[Date]])</f>
        <v>7</v>
      </c>
      <c r="I183" s="8">
        <f>WEEKDAY(Table1[[#This Row],[Date]])</f>
        <v>1</v>
      </c>
      <c r="J183" s="3">
        <f>(Table1[[#This Row],[Credit]]-Table1[[#This Row],[Debit]])</f>
        <v>-5</v>
      </c>
    </row>
    <row r="184" spans="1:10" x14ac:dyDescent="0.25">
      <c r="A184" s="7">
        <v>44382</v>
      </c>
      <c r="B184" s="3" t="s">
        <v>11</v>
      </c>
      <c r="C184" s="3">
        <v>5</v>
      </c>
      <c r="D184" s="3"/>
      <c r="E184" s="3" t="s">
        <v>12</v>
      </c>
      <c r="F184" s="3" t="s">
        <v>13</v>
      </c>
      <c r="G184" s="3" t="s">
        <v>14</v>
      </c>
      <c r="H184" s="3">
        <f>MONTH(Table1[[#This Row],[Date]])</f>
        <v>7</v>
      </c>
      <c r="I184" s="8">
        <f>WEEKDAY(Table1[[#This Row],[Date]])</f>
        <v>2</v>
      </c>
      <c r="J184" s="3">
        <f>(Table1[[#This Row],[Credit]]-Table1[[#This Row],[Debit]])</f>
        <v>-5</v>
      </c>
    </row>
    <row r="185" spans="1:10" x14ac:dyDescent="0.25">
      <c r="A185" s="7">
        <v>44383</v>
      </c>
      <c r="B185" s="3" t="s">
        <v>11</v>
      </c>
      <c r="C185" s="3">
        <v>5</v>
      </c>
      <c r="D185" s="3"/>
      <c r="E185" s="3" t="s">
        <v>12</v>
      </c>
      <c r="F185" s="3" t="s">
        <v>13</v>
      </c>
      <c r="G185" s="3" t="s">
        <v>14</v>
      </c>
      <c r="H185" s="3">
        <f>MONTH(Table1[[#This Row],[Date]])</f>
        <v>7</v>
      </c>
      <c r="I185" s="8">
        <f>WEEKDAY(Table1[[#This Row],[Date]])</f>
        <v>3</v>
      </c>
      <c r="J185" s="3">
        <f>(Table1[[#This Row],[Credit]]-Table1[[#This Row],[Debit]])</f>
        <v>-5</v>
      </c>
    </row>
    <row r="186" spans="1:10" x14ac:dyDescent="0.25">
      <c r="A186" s="7">
        <v>44384</v>
      </c>
      <c r="B186" s="3" t="s">
        <v>21</v>
      </c>
      <c r="C186" s="3">
        <v>164.9</v>
      </c>
      <c r="D186" s="3"/>
      <c r="E186" s="3" t="s">
        <v>22</v>
      </c>
      <c r="F186" s="3" t="s">
        <v>17</v>
      </c>
      <c r="G186" s="3" t="s">
        <v>14</v>
      </c>
      <c r="H186" s="3">
        <f>MONTH(Table1[[#This Row],[Date]])</f>
        <v>7</v>
      </c>
      <c r="I186" s="8">
        <f>WEEKDAY(Table1[[#This Row],[Date]])</f>
        <v>4</v>
      </c>
      <c r="J186" s="3">
        <f>(Table1[[#This Row],[Credit]]-Table1[[#This Row],[Debit]])</f>
        <v>-164.9</v>
      </c>
    </row>
    <row r="187" spans="1:10" x14ac:dyDescent="0.25">
      <c r="A187" s="7">
        <v>44385</v>
      </c>
      <c r="B187" s="3" t="s">
        <v>49</v>
      </c>
      <c r="C187" s="3">
        <v>127.9</v>
      </c>
      <c r="D187" s="3"/>
      <c r="E187" s="3" t="s">
        <v>30</v>
      </c>
      <c r="F187" s="3" t="s">
        <v>28</v>
      </c>
      <c r="G187" s="3" t="s">
        <v>14</v>
      </c>
      <c r="H187" s="3">
        <f>MONTH(Table1[[#This Row],[Date]])</f>
        <v>7</v>
      </c>
      <c r="I187" s="8">
        <f>WEEKDAY(Table1[[#This Row],[Date]])</f>
        <v>5</v>
      </c>
      <c r="J187" s="3">
        <f>(Table1[[#This Row],[Credit]]-Table1[[#This Row],[Debit]])</f>
        <v>-127.9</v>
      </c>
    </row>
    <row r="188" spans="1:10" x14ac:dyDescent="0.25">
      <c r="A188" s="7">
        <v>44386</v>
      </c>
      <c r="B188" s="3" t="s">
        <v>57</v>
      </c>
      <c r="C188" s="3">
        <v>300</v>
      </c>
      <c r="D188" s="3"/>
      <c r="E188" s="3" t="s">
        <v>27</v>
      </c>
      <c r="F188" s="3" t="s">
        <v>28</v>
      </c>
      <c r="G188" s="3" t="s">
        <v>14</v>
      </c>
      <c r="H188" s="3">
        <f>MONTH(Table1[[#This Row],[Date]])</f>
        <v>7</v>
      </c>
      <c r="I188" s="8">
        <f>WEEKDAY(Table1[[#This Row],[Date]])</f>
        <v>6</v>
      </c>
      <c r="J188" s="3">
        <f>(Table1[[#This Row],[Credit]]-Table1[[#This Row],[Debit]])</f>
        <v>-300</v>
      </c>
    </row>
    <row r="189" spans="1:10" x14ac:dyDescent="0.25">
      <c r="A189" s="7">
        <v>44387</v>
      </c>
      <c r="B189" s="3" t="s">
        <v>29</v>
      </c>
      <c r="C189" s="3">
        <v>148.1</v>
      </c>
      <c r="D189" s="3"/>
      <c r="E189" s="3" t="s">
        <v>30</v>
      </c>
      <c r="F189" s="3" t="s">
        <v>28</v>
      </c>
      <c r="G189" s="3" t="s">
        <v>14</v>
      </c>
      <c r="H189" s="3">
        <f>MONTH(Table1[[#This Row],[Date]])</f>
        <v>7</v>
      </c>
      <c r="I189" s="8">
        <f>WEEKDAY(Table1[[#This Row],[Date]])</f>
        <v>7</v>
      </c>
      <c r="J189" s="3">
        <f>(Table1[[#This Row],[Credit]]-Table1[[#This Row],[Debit]])</f>
        <v>-148.1</v>
      </c>
    </row>
    <row r="190" spans="1:10" x14ac:dyDescent="0.25">
      <c r="A190" s="7">
        <v>44388</v>
      </c>
      <c r="B190" s="3" t="s">
        <v>33</v>
      </c>
      <c r="C190" s="3">
        <v>26.1</v>
      </c>
      <c r="D190" s="3"/>
      <c r="E190" s="3" t="s">
        <v>34</v>
      </c>
      <c r="F190" s="3" t="s">
        <v>20</v>
      </c>
      <c r="G190" s="3" t="s">
        <v>14</v>
      </c>
      <c r="H190" s="3">
        <f>MONTH(Table1[[#This Row],[Date]])</f>
        <v>7</v>
      </c>
      <c r="I190" s="8">
        <f>WEEKDAY(Table1[[#This Row],[Date]])</f>
        <v>1</v>
      </c>
      <c r="J190" s="3">
        <f>(Table1[[#This Row],[Credit]]-Table1[[#This Row],[Debit]])</f>
        <v>-26.1</v>
      </c>
    </row>
    <row r="191" spans="1:10" x14ac:dyDescent="0.25">
      <c r="A191" s="7">
        <v>44389</v>
      </c>
      <c r="B191" s="3" t="s">
        <v>56</v>
      </c>
      <c r="C191" s="3">
        <v>15</v>
      </c>
      <c r="D191" s="3"/>
      <c r="E191" s="3" t="s">
        <v>32</v>
      </c>
      <c r="F191" s="3" t="s">
        <v>13</v>
      </c>
      <c r="G191" s="3" t="s">
        <v>14</v>
      </c>
      <c r="H191" s="3">
        <f>MONTH(Table1[[#This Row],[Date]])</f>
        <v>7</v>
      </c>
      <c r="I191" s="8">
        <f>WEEKDAY(Table1[[#This Row],[Date]])</f>
        <v>2</v>
      </c>
      <c r="J191" s="3">
        <f>(Table1[[#This Row],[Credit]]-Table1[[#This Row],[Debit]])</f>
        <v>-15</v>
      </c>
    </row>
    <row r="192" spans="1:10" x14ac:dyDescent="0.25">
      <c r="A192" s="7">
        <v>44390</v>
      </c>
      <c r="B192" s="3" t="s">
        <v>11</v>
      </c>
      <c r="C192" s="3">
        <v>5</v>
      </c>
      <c r="D192" s="3"/>
      <c r="E192" s="3" t="s">
        <v>12</v>
      </c>
      <c r="F192" s="3" t="s">
        <v>13</v>
      </c>
      <c r="G192" s="3" t="s">
        <v>14</v>
      </c>
      <c r="H192" s="3">
        <f>MONTH(Table1[[#This Row],[Date]])</f>
        <v>7</v>
      </c>
      <c r="I192" s="8">
        <f>WEEKDAY(Table1[[#This Row],[Date]])</f>
        <v>3</v>
      </c>
      <c r="J192" s="3">
        <f>(Table1[[#This Row],[Credit]]-Table1[[#This Row],[Debit]])</f>
        <v>-5</v>
      </c>
    </row>
    <row r="193" spans="1:10" x14ac:dyDescent="0.25">
      <c r="A193" s="7">
        <v>44391</v>
      </c>
      <c r="B193" s="3" t="s">
        <v>11</v>
      </c>
      <c r="C193" s="3">
        <v>5</v>
      </c>
      <c r="D193" s="3"/>
      <c r="E193" s="3" t="s">
        <v>12</v>
      </c>
      <c r="F193" s="3" t="s">
        <v>13</v>
      </c>
      <c r="G193" s="3" t="s">
        <v>14</v>
      </c>
      <c r="H193" s="3">
        <f>MONTH(Table1[[#This Row],[Date]])</f>
        <v>7</v>
      </c>
      <c r="I193" s="8">
        <f>WEEKDAY(Table1[[#This Row],[Date]])</f>
        <v>4</v>
      </c>
      <c r="J193" s="3">
        <f>(Table1[[#This Row],[Credit]]-Table1[[#This Row],[Debit]])</f>
        <v>-5</v>
      </c>
    </row>
    <row r="194" spans="1:10" x14ac:dyDescent="0.25">
      <c r="A194" s="7">
        <v>44392</v>
      </c>
      <c r="B194" s="3" t="s">
        <v>11</v>
      </c>
      <c r="C194" s="3">
        <v>5</v>
      </c>
      <c r="D194" s="3"/>
      <c r="E194" s="3" t="s">
        <v>12</v>
      </c>
      <c r="F194" s="3" t="s">
        <v>13</v>
      </c>
      <c r="G194" s="3" t="s">
        <v>14</v>
      </c>
      <c r="H194" s="3">
        <f>MONTH(Table1[[#This Row],[Date]])</f>
        <v>7</v>
      </c>
      <c r="I194" s="8">
        <f>WEEKDAY(Table1[[#This Row],[Date]])</f>
        <v>5</v>
      </c>
      <c r="J194" s="3">
        <f>(Table1[[#This Row],[Credit]]-Table1[[#This Row],[Debit]])</f>
        <v>-5</v>
      </c>
    </row>
    <row r="195" spans="1:10" x14ac:dyDescent="0.25">
      <c r="A195" s="7">
        <v>44393</v>
      </c>
      <c r="B195" s="3" t="s">
        <v>7</v>
      </c>
      <c r="C195" s="3"/>
      <c r="D195" s="3">
        <v>5000</v>
      </c>
      <c r="E195" s="3" t="s">
        <v>8</v>
      </c>
      <c r="F195" s="3" t="s">
        <v>9</v>
      </c>
      <c r="G195" s="3" t="s">
        <v>10</v>
      </c>
      <c r="H195" s="3">
        <f>MONTH(Table1[[#This Row],[Date]])</f>
        <v>7</v>
      </c>
      <c r="I195" s="8">
        <f>WEEKDAY(Table1[[#This Row],[Date]])</f>
        <v>6</v>
      </c>
      <c r="J195" s="3">
        <f>(Table1[[#This Row],[Credit]]-Table1[[#This Row],[Debit]])</f>
        <v>5000</v>
      </c>
    </row>
    <row r="196" spans="1:10" x14ac:dyDescent="0.25">
      <c r="A196" s="7">
        <v>44394</v>
      </c>
      <c r="B196" s="3" t="s">
        <v>15</v>
      </c>
      <c r="C196" s="3">
        <v>900</v>
      </c>
      <c r="D196" s="3"/>
      <c r="E196" s="3" t="s">
        <v>16</v>
      </c>
      <c r="F196" s="3" t="s">
        <v>17</v>
      </c>
      <c r="G196" s="3" t="s">
        <v>14</v>
      </c>
      <c r="H196" s="3">
        <f>MONTH(Table1[[#This Row],[Date]])</f>
        <v>7</v>
      </c>
      <c r="I196" s="8">
        <f>WEEKDAY(Table1[[#This Row],[Date]])</f>
        <v>7</v>
      </c>
      <c r="J196" s="3">
        <f>(Table1[[#This Row],[Credit]]-Table1[[#This Row],[Debit]])</f>
        <v>-900</v>
      </c>
    </row>
    <row r="197" spans="1:10" x14ac:dyDescent="0.25">
      <c r="A197" s="7">
        <v>44395</v>
      </c>
      <c r="B197" s="3" t="s">
        <v>18</v>
      </c>
      <c r="C197" s="3">
        <v>150</v>
      </c>
      <c r="D197" s="3"/>
      <c r="E197" s="3" t="s">
        <v>19</v>
      </c>
      <c r="F197" s="3" t="s">
        <v>20</v>
      </c>
      <c r="G197" s="3" t="s">
        <v>14</v>
      </c>
      <c r="H197" s="3">
        <f>MONTH(Table1[[#This Row],[Date]])</f>
        <v>7</v>
      </c>
      <c r="I197" s="8">
        <f>WEEKDAY(Table1[[#This Row],[Date]])</f>
        <v>1</v>
      </c>
      <c r="J197" s="3">
        <f>(Table1[[#This Row],[Credit]]-Table1[[#This Row],[Debit]])</f>
        <v>-150</v>
      </c>
    </row>
    <row r="198" spans="1:10" x14ac:dyDescent="0.25">
      <c r="A198" s="7">
        <v>44396</v>
      </c>
      <c r="B198" s="3" t="s">
        <v>11</v>
      </c>
      <c r="C198" s="3">
        <v>5</v>
      </c>
      <c r="D198" s="3"/>
      <c r="E198" s="3" t="s">
        <v>12</v>
      </c>
      <c r="F198" s="3" t="s">
        <v>13</v>
      </c>
      <c r="G198" s="3" t="s">
        <v>14</v>
      </c>
      <c r="H198" s="3">
        <f>MONTH(Table1[[#This Row],[Date]])</f>
        <v>7</v>
      </c>
      <c r="I198" s="8">
        <f>WEEKDAY(Table1[[#This Row],[Date]])</f>
        <v>2</v>
      </c>
      <c r="J198" s="3">
        <f>(Table1[[#This Row],[Credit]]-Table1[[#This Row],[Debit]])</f>
        <v>-5</v>
      </c>
    </row>
    <row r="199" spans="1:10" x14ac:dyDescent="0.25">
      <c r="A199" s="7">
        <v>44397</v>
      </c>
      <c r="B199" s="3" t="s">
        <v>11</v>
      </c>
      <c r="C199" s="3">
        <v>5</v>
      </c>
      <c r="D199" s="3"/>
      <c r="E199" s="3" t="s">
        <v>12</v>
      </c>
      <c r="F199" s="3" t="s">
        <v>13</v>
      </c>
      <c r="G199" s="3" t="s">
        <v>14</v>
      </c>
      <c r="H199" s="3">
        <f>MONTH(Table1[[#This Row],[Date]])</f>
        <v>7</v>
      </c>
      <c r="I199" s="8">
        <f>WEEKDAY(Table1[[#This Row],[Date]])</f>
        <v>3</v>
      </c>
      <c r="J199" s="3">
        <f>(Table1[[#This Row],[Credit]]-Table1[[#This Row],[Debit]])</f>
        <v>-5</v>
      </c>
    </row>
    <row r="200" spans="1:10" x14ac:dyDescent="0.25">
      <c r="A200" s="7">
        <v>44398</v>
      </c>
      <c r="B200" s="3" t="s">
        <v>11</v>
      </c>
      <c r="C200" s="3">
        <v>5</v>
      </c>
      <c r="D200" s="3"/>
      <c r="E200" s="3" t="s">
        <v>12</v>
      </c>
      <c r="F200" s="3" t="s">
        <v>13</v>
      </c>
      <c r="G200" s="3" t="s">
        <v>14</v>
      </c>
      <c r="H200" s="3">
        <f>MONTH(Table1[[#This Row],[Date]])</f>
        <v>7</v>
      </c>
      <c r="I200" s="8">
        <f>WEEKDAY(Table1[[#This Row],[Date]])</f>
        <v>4</v>
      </c>
      <c r="J200" s="3">
        <f>(Table1[[#This Row],[Credit]]-Table1[[#This Row],[Debit]])</f>
        <v>-5</v>
      </c>
    </row>
    <row r="201" spans="1:10" x14ac:dyDescent="0.25">
      <c r="A201" s="7">
        <v>44399</v>
      </c>
      <c r="B201" s="3" t="s">
        <v>11</v>
      </c>
      <c r="C201" s="3">
        <v>5</v>
      </c>
      <c r="D201" s="3"/>
      <c r="E201" s="3" t="s">
        <v>12</v>
      </c>
      <c r="F201" s="3" t="s">
        <v>13</v>
      </c>
      <c r="G201" s="3" t="s">
        <v>14</v>
      </c>
      <c r="H201" s="3">
        <f>MONTH(Table1[[#This Row],[Date]])</f>
        <v>7</v>
      </c>
      <c r="I201" s="8">
        <f>WEEKDAY(Table1[[#This Row],[Date]])</f>
        <v>5</v>
      </c>
      <c r="J201" s="3">
        <f>(Table1[[#This Row],[Credit]]-Table1[[#This Row],[Debit]])</f>
        <v>-5</v>
      </c>
    </row>
    <row r="202" spans="1:10" x14ac:dyDescent="0.25">
      <c r="A202" s="7">
        <v>44400</v>
      </c>
      <c r="B202" s="3" t="s">
        <v>21</v>
      </c>
      <c r="C202" s="3">
        <v>170</v>
      </c>
      <c r="D202" s="3"/>
      <c r="E202" s="3" t="s">
        <v>22</v>
      </c>
      <c r="F202" s="3" t="s">
        <v>17</v>
      </c>
      <c r="G202" s="3" t="s">
        <v>14</v>
      </c>
      <c r="H202" s="3">
        <f>MONTH(Table1[[#This Row],[Date]])</f>
        <v>7</v>
      </c>
      <c r="I202" s="8">
        <f>WEEKDAY(Table1[[#This Row],[Date]])</f>
        <v>6</v>
      </c>
      <c r="J202" s="3">
        <f>(Table1[[#This Row],[Credit]]-Table1[[#This Row],[Debit]])</f>
        <v>-170</v>
      </c>
    </row>
    <row r="203" spans="1:10" x14ac:dyDescent="0.25">
      <c r="A203" s="7">
        <v>44401</v>
      </c>
      <c r="B203" s="3" t="s">
        <v>23</v>
      </c>
      <c r="C203" s="3">
        <v>54.1</v>
      </c>
      <c r="D203" s="3"/>
      <c r="E203" s="3" t="s">
        <v>24</v>
      </c>
      <c r="F203" s="3" t="s">
        <v>17</v>
      </c>
      <c r="G203" s="3" t="s">
        <v>14</v>
      </c>
      <c r="H203" s="3">
        <f>MONTH(Table1[[#This Row],[Date]])</f>
        <v>7</v>
      </c>
      <c r="I203" s="8">
        <f>WEEKDAY(Table1[[#This Row],[Date]])</f>
        <v>7</v>
      </c>
      <c r="J203" s="3">
        <f>(Table1[[#This Row],[Credit]]-Table1[[#This Row],[Debit]])</f>
        <v>-54.1</v>
      </c>
    </row>
    <row r="204" spans="1:10" x14ac:dyDescent="0.25">
      <c r="A204" s="7">
        <v>44402</v>
      </c>
      <c r="B204" s="3" t="s">
        <v>11</v>
      </c>
      <c r="C204" s="3">
        <v>5</v>
      </c>
      <c r="D204" s="3"/>
      <c r="E204" s="3" t="s">
        <v>12</v>
      </c>
      <c r="F204" s="3" t="s">
        <v>13</v>
      </c>
      <c r="G204" s="3" t="s">
        <v>14</v>
      </c>
      <c r="H204" s="3">
        <f>MONTH(Table1[[#This Row],[Date]])</f>
        <v>7</v>
      </c>
      <c r="I204" s="8">
        <f>WEEKDAY(Table1[[#This Row],[Date]])</f>
        <v>1</v>
      </c>
      <c r="J204" s="3">
        <f>(Table1[[#This Row],[Credit]]-Table1[[#This Row],[Debit]])</f>
        <v>-5</v>
      </c>
    </row>
    <row r="205" spans="1:10" x14ac:dyDescent="0.25">
      <c r="A205" s="7">
        <v>44403</v>
      </c>
      <c r="B205" s="3" t="s">
        <v>11</v>
      </c>
      <c r="C205" s="3">
        <v>5</v>
      </c>
      <c r="D205" s="3"/>
      <c r="E205" s="3" t="s">
        <v>12</v>
      </c>
      <c r="F205" s="3" t="s">
        <v>13</v>
      </c>
      <c r="G205" s="3" t="s">
        <v>14</v>
      </c>
      <c r="H205" s="3">
        <f>MONTH(Table1[[#This Row],[Date]])</f>
        <v>7</v>
      </c>
      <c r="I205" s="8">
        <f>WEEKDAY(Table1[[#This Row],[Date]])</f>
        <v>2</v>
      </c>
      <c r="J205" s="3">
        <f>(Table1[[#This Row],[Credit]]-Table1[[#This Row],[Debit]])</f>
        <v>-5</v>
      </c>
    </row>
    <row r="206" spans="1:10" x14ac:dyDescent="0.25">
      <c r="A206" s="7">
        <v>44404</v>
      </c>
      <c r="B206" s="3" t="s">
        <v>25</v>
      </c>
      <c r="C206" s="3">
        <v>81</v>
      </c>
      <c r="D206" s="3"/>
      <c r="E206" s="3" t="s">
        <v>48</v>
      </c>
      <c r="F206" s="3" t="s">
        <v>20</v>
      </c>
      <c r="G206" s="3" t="s">
        <v>14</v>
      </c>
      <c r="H206" s="3">
        <f>MONTH(Table1[[#This Row],[Date]])</f>
        <v>7</v>
      </c>
      <c r="I206" s="8">
        <f>WEEKDAY(Table1[[#This Row],[Date]])</f>
        <v>3</v>
      </c>
      <c r="J206" s="3">
        <f>(Table1[[#This Row],[Credit]]-Table1[[#This Row],[Debit]])</f>
        <v>-81</v>
      </c>
    </row>
    <row r="207" spans="1:10" x14ac:dyDescent="0.25">
      <c r="A207" s="7">
        <v>44405</v>
      </c>
      <c r="B207" s="3" t="s">
        <v>11</v>
      </c>
      <c r="C207" s="3">
        <v>5</v>
      </c>
      <c r="D207" s="3"/>
      <c r="E207" s="3" t="s">
        <v>12</v>
      </c>
      <c r="F207" s="3" t="s">
        <v>13</v>
      </c>
      <c r="G207" s="3" t="s">
        <v>14</v>
      </c>
      <c r="H207" s="3">
        <f>MONTH(Table1[[#This Row],[Date]])</f>
        <v>7</v>
      </c>
      <c r="I207" s="8">
        <f>WEEKDAY(Table1[[#This Row],[Date]])</f>
        <v>4</v>
      </c>
      <c r="J207" s="3">
        <f>(Table1[[#This Row],[Credit]]-Table1[[#This Row],[Debit]])</f>
        <v>-5</v>
      </c>
    </row>
    <row r="208" spans="1:10" x14ac:dyDescent="0.25">
      <c r="A208" s="7">
        <v>44406</v>
      </c>
      <c r="B208" s="3" t="s">
        <v>11</v>
      </c>
      <c r="C208" s="3">
        <v>5</v>
      </c>
      <c r="D208" s="3"/>
      <c r="E208" s="3" t="s">
        <v>12</v>
      </c>
      <c r="F208" s="3" t="s">
        <v>13</v>
      </c>
      <c r="G208" s="3" t="s">
        <v>14</v>
      </c>
      <c r="H208" s="3">
        <f>MONTH(Table1[[#This Row],[Date]])</f>
        <v>7</v>
      </c>
      <c r="I208" s="8">
        <f>WEEKDAY(Table1[[#This Row],[Date]])</f>
        <v>5</v>
      </c>
      <c r="J208" s="3">
        <f>(Table1[[#This Row],[Credit]]-Table1[[#This Row],[Debit]])</f>
        <v>-5</v>
      </c>
    </row>
    <row r="209" spans="1:10" x14ac:dyDescent="0.25">
      <c r="A209" s="7">
        <v>44407</v>
      </c>
      <c r="B209" s="3" t="s">
        <v>21</v>
      </c>
      <c r="C209" s="3">
        <v>139.1</v>
      </c>
      <c r="D209" s="3"/>
      <c r="E209" s="3" t="s">
        <v>22</v>
      </c>
      <c r="F209" s="3" t="s">
        <v>17</v>
      </c>
      <c r="G209" s="3" t="s">
        <v>14</v>
      </c>
      <c r="H209" s="3">
        <f>MONTH(Table1[[#This Row],[Date]])</f>
        <v>7</v>
      </c>
      <c r="I209" s="8">
        <f>WEEKDAY(Table1[[#This Row],[Date]])</f>
        <v>6</v>
      </c>
      <c r="J209" s="3">
        <f>(Table1[[#This Row],[Credit]]-Table1[[#This Row],[Debit]])</f>
        <v>-139.1</v>
      </c>
    </row>
    <row r="210" spans="1:10" x14ac:dyDescent="0.25">
      <c r="A210" s="7">
        <v>44408</v>
      </c>
      <c r="B210" s="3" t="s">
        <v>11</v>
      </c>
      <c r="C210" s="3">
        <v>5</v>
      </c>
      <c r="D210" s="3"/>
      <c r="E210" s="3" t="s">
        <v>12</v>
      </c>
      <c r="F210" s="3" t="s">
        <v>13</v>
      </c>
      <c r="G210" s="3" t="s">
        <v>14</v>
      </c>
      <c r="H210" s="3">
        <f>MONTH(Table1[[#This Row],[Date]])</f>
        <v>7</v>
      </c>
      <c r="I210" s="8">
        <f>WEEKDAY(Table1[[#This Row],[Date]])</f>
        <v>7</v>
      </c>
      <c r="J210" s="3">
        <f>(Table1[[#This Row],[Credit]]-Table1[[#This Row],[Debit]])</f>
        <v>-5</v>
      </c>
    </row>
    <row r="211" spans="1:10" x14ac:dyDescent="0.25">
      <c r="A211" s="7">
        <v>44409</v>
      </c>
      <c r="B211" s="3" t="s">
        <v>11</v>
      </c>
      <c r="C211" s="3">
        <v>5</v>
      </c>
      <c r="D211" s="3"/>
      <c r="E211" s="3" t="s">
        <v>12</v>
      </c>
      <c r="F211" s="3" t="s">
        <v>13</v>
      </c>
      <c r="G211" s="3" t="s">
        <v>14</v>
      </c>
      <c r="H211" s="3">
        <f>MONTH(Table1[[#This Row],[Date]])</f>
        <v>8</v>
      </c>
      <c r="I211" s="8">
        <f>WEEKDAY(Table1[[#This Row],[Date]])</f>
        <v>1</v>
      </c>
      <c r="J211" s="3">
        <f>(Table1[[#This Row],[Credit]]-Table1[[#This Row],[Debit]])</f>
        <v>-5</v>
      </c>
    </row>
    <row r="212" spans="1:10" x14ac:dyDescent="0.25">
      <c r="A212" s="7">
        <v>44410</v>
      </c>
      <c r="B212" s="3" t="s">
        <v>26</v>
      </c>
      <c r="C212" s="3">
        <v>43.9</v>
      </c>
      <c r="D212" s="3"/>
      <c r="E212" s="3" t="s">
        <v>27</v>
      </c>
      <c r="F212" s="3" t="s">
        <v>28</v>
      </c>
      <c r="G212" s="3" t="s">
        <v>14</v>
      </c>
      <c r="H212" s="3">
        <f>MONTH(Table1[[#This Row],[Date]])</f>
        <v>8</v>
      </c>
      <c r="I212" s="8">
        <f>WEEKDAY(Table1[[#This Row],[Date]])</f>
        <v>2</v>
      </c>
      <c r="J212" s="3">
        <f>(Table1[[#This Row],[Credit]]-Table1[[#This Row],[Debit]])</f>
        <v>-43.9</v>
      </c>
    </row>
    <row r="213" spans="1:10" x14ac:dyDescent="0.25">
      <c r="A213" s="7">
        <v>44411</v>
      </c>
      <c r="B213" s="3" t="s">
        <v>29</v>
      </c>
      <c r="C213" s="3">
        <v>101.80000000000001</v>
      </c>
      <c r="D213" s="3"/>
      <c r="E213" s="3" t="s">
        <v>30</v>
      </c>
      <c r="F213" s="3" t="s">
        <v>28</v>
      </c>
      <c r="G213" s="3" t="s">
        <v>14</v>
      </c>
      <c r="H213" s="3">
        <f>MONTH(Table1[[#This Row],[Date]])</f>
        <v>8</v>
      </c>
      <c r="I213" s="8">
        <f>WEEKDAY(Table1[[#This Row],[Date]])</f>
        <v>3</v>
      </c>
      <c r="J213" s="3">
        <f>(Table1[[#This Row],[Credit]]-Table1[[#This Row],[Debit]])</f>
        <v>-101.80000000000001</v>
      </c>
    </row>
    <row r="214" spans="1:10" x14ac:dyDescent="0.25">
      <c r="A214" s="7">
        <v>44412</v>
      </c>
      <c r="B214" s="3" t="s">
        <v>31</v>
      </c>
      <c r="C214" s="3">
        <v>55.9</v>
      </c>
      <c r="D214" s="3"/>
      <c r="E214" s="3" t="s">
        <v>32</v>
      </c>
      <c r="F214" s="3" t="s">
        <v>13</v>
      </c>
      <c r="G214" s="3" t="s">
        <v>14</v>
      </c>
      <c r="H214" s="3">
        <f>MONTH(Table1[[#This Row],[Date]])</f>
        <v>8</v>
      </c>
      <c r="I214" s="8">
        <f>WEEKDAY(Table1[[#This Row],[Date]])</f>
        <v>4</v>
      </c>
      <c r="J214" s="3">
        <f>(Table1[[#This Row],[Credit]]-Table1[[#This Row],[Debit]])</f>
        <v>-55.9</v>
      </c>
    </row>
    <row r="215" spans="1:10" x14ac:dyDescent="0.25">
      <c r="A215" s="7">
        <v>44413</v>
      </c>
      <c r="B215" s="3" t="s">
        <v>33</v>
      </c>
      <c r="C215" s="3">
        <v>32</v>
      </c>
      <c r="D215" s="3"/>
      <c r="E215" s="3" t="s">
        <v>34</v>
      </c>
      <c r="F215" s="3" t="s">
        <v>20</v>
      </c>
      <c r="G215" s="3" t="s">
        <v>14</v>
      </c>
      <c r="H215" s="3">
        <f>MONTH(Table1[[#This Row],[Date]])</f>
        <v>8</v>
      </c>
      <c r="I215" s="8">
        <f>WEEKDAY(Table1[[#This Row],[Date]])</f>
        <v>5</v>
      </c>
      <c r="J215" s="3">
        <f>(Table1[[#This Row],[Credit]]-Table1[[#This Row],[Debit]])</f>
        <v>-32</v>
      </c>
    </row>
    <row r="216" spans="1:10" x14ac:dyDescent="0.25">
      <c r="A216" s="7">
        <v>44414</v>
      </c>
      <c r="B216" s="3" t="s">
        <v>35</v>
      </c>
      <c r="C216" s="3"/>
      <c r="D216" s="3">
        <v>1000</v>
      </c>
      <c r="E216" s="3" t="s">
        <v>36</v>
      </c>
      <c r="F216" s="3" t="s">
        <v>37</v>
      </c>
      <c r="G216" s="3" t="s">
        <v>10</v>
      </c>
      <c r="H216" s="3">
        <f>MONTH(Table1[[#This Row],[Date]])</f>
        <v>8</v>
      </c>
      <c r="I216" s="8">
        <f>WEEKDAY(Table1[[#This Row],[Date]])</f>
        <v>6</v>
      </c>
      <c r="J216" s="3">
        <f>(Table1[[#This Row],[Credit]]-Table1[[#This Row],[Debit]])</f>
        <v>1000</v>
      </c>
    </row>
    <row r="217" spans="1:10" x14ac:dyDescent="0.25">
      <c r="A217" s="7">
        <v>44415</v>
      </c>
      <c r="B217" s="3" t="s">
        <v>11</v>
      </c>
      <c r="C217" s="3">
        <v>5</v>
      </c>
      <c r="D217" s="3"/>
      <c r="E217" s="3" t="s">
        <v>12</v>
      </c>
      <c r="F217" s="3" t="s">
        <v>13</v>
      </c>
      <c r="G217" s="3" t="s">
        <v>14</v>
      </c>
      <c r="H217" s="3">
        <f>MONTH(Table1[[#This Row],[Date]])</f>
        <v>8</v>
      </c>
      <c r="I217" s="8">
        <f>WEEKDAY(Table1[[#This Row],[Date]])</f>
        <v>7</v>
      </c>
      <c r="J217" s="3">
        <f>(Table1[[#This Row],[Credit]]-Table1[[#This Row],[Debit]])</f>
        <v>-5</v>
      </c>
    </row>
    <row r="218" spans="1:10" x14ac:dyDescent="0.25">
      <c r="A218" s="7">
        <v>44416</v>
      </c>
      <c r="B218" s="3" t="s">
        <v>11</v>
      </c>
      <c r="C218" s="3">
        <v>5</v>
      </c>
      <c r="D218" s="3"/>
      <c r="E218" s="3" t="s">
        <v>12</v>
      </c>
      <c r="F218" s="3" t="s">
        <v>13</v>
      </c>
      <c r="G218" s="3" t="s">
        <v>14</v>
      </c>
      <c r="H218" s="3">
        <f>MONTH(Table1[[#This Row],[Date]])</f>
        <v>8</v>
      </c>
      <c r="I218" s="8">
        <f>WEEKDAY(Table1[[#This Row],[Date]])</f>
        <v>1</v>
      </c>
      <c r="J218" s="3">
        <f>(Table1[[#This Row],[Credit]]-Table1[[#This Row],[Debit]])</f>
        <v>-5</v>
      </c>
    </row>
    <row r="219" spans="1:10" x14ac:dyDescent="0.25">
      <c r="A219" s="7">
        <v>44417</v>
      </c>
      <c r="B219" s="3" t="s">
        <v>52</v>
      </c>
      <c r="C219" s="3">
        <v>75</v>
      </c>
      <c r="D219" s="3"/>
      <c r="E219" s="3" t="s">
        <v>53</v>
      </c>
      <c r="F219" s="3" t="s">
        <v>54</v>
      </c>
      <c r="G219" s="3" t="s">
        <v>14</v>
      </c>
      <c r="H219" s="3">
        <f>MONTH(Table1[[#This Row],[Date]])</f>
        <v>8</v>
      </c>
      <c r="I219" s="8">
        <f>WEEKDAY(Table1[[#This Row],[Date]])</f>
        <v>2</v>
      </c>
      <c r="J219" s="3">
        <f>(Table1[[#This Row],[Credit]]-Table1[[#This Row],[Debit]])</f>
        <v>-75</v>
      </c>
    </row>
    <row r="220" spans="1:10" x14ac:dyDescent="0.25">
      <c r="A220" s="7">
        <v>44418</v>
      </c>
      <c r="B220" s="3" t="s">
        <v>39</v>
      </c>
      <c r="C220" s="3">
        <v>40</v>
      </c>
      <c r="D220" s="3"/>
      <c r="E220" s="3" t="s">
        <v>39</v>
      </c>
      <c r="F220" s="3" t="s">
        <v>17</v>
      </c>
      <c r="G220" s="3" t="s">
        <v>14</v>
      </c>
      <c r="H220" s="3">
        <f>MONTH(Table1[[#This Row],[Date]])</f>
        <v>8</v>
      </c>
      <c r="I220" s="8">
        <f>WEEKDAY(Table1[[#This Row],[Date]])</f>
        <v>3</v>
      </c>
      <c r="J220" s="3">
        <f>(Table1[[#This Row],[Credit]]-Table1[[#This Row],[Debit]])</f>
        <v>-40</v>
      </c>
    </row>
    <row r="221" spans="1:10" x14ac:dyDescent="0.25">
      <c r="A221" s="7">
        <v>44419</v>
      </c>
      <c r="B221" s="3" t="s">
        <v>40</v>
      </c>
      <c r="C221" s="3">
        <v>49</v>
      </c>
      <c r="D221" s="3"/>
      <c r="E221" s="3" t="s">
        <v>41</v>
      </c>
      <c r="F221" s="3" t="s">
        <v>28</v>
      </c>
      <c r="G221" s="3" t="s">
        <v>14</v>
      </c>
      <c r="H221" s="3">
        <f>MONTH(Table1[[#This Row],[Date]])</f>
        <v>8</v>
      </c>
      <c r="I221" s="8">
        <f>WEEKDAY(Table1[[#This Row],[Date]])</f>
        <v>4</v>
      </c>
      <c r="J221" s="3">
        <f>(Table1[[#This Row],[Credit]]-Table1[[#This Row],[Debit]])</f>
        <v>-49</v>
      </c>
    </row>
    <row r="222" spans="1:10" x14ac:dyDescent="0.25">
      <c r="A222" s="7">
        <v>44420</v>
      </c>
      <c r="B222" s="3" t="s">
        <v>42</v>
      </c>
      <c r="C222" s="3">
        <v>35</v>
      </c>
      <c r="D222" s="3"/>
      <c r="E222" s="3" t="s">
        <v>27</v>
      </c>
      <c r="F222" s="3" t="s">
        <v>28</v>
      </c>
      <c r="G222" s="3" t="s">
        <v>14</v>
      </c>
      <c r="H222" s="3">
        <f>MONTH(Table1[[#This Row],[Date]])</f>
        <v>8</v>
      </c>
      <c r="I222" s="8">
        <f>WEEKDAY(Table1[[#This Row],[Date]])</f>
        <v>5</v>
      </c>
      <c r="J222" s="3">
        <f>(Table1[[#This Row],[Credit]]-Table1[[#This Row],[Debit]])</f>
        <v>-35</v>
      </c>
    </row>
    <row r="223" spans="1:10" x14ac:dyDescent="0.25">
      <c r="A223" s="7">
        <v>44421</v>
      </c>
      <c r="B223" s="3" t="s">
        <v>11</v>
      </c>
      <c r="C223" s="3">
        <v>5</v>
      </c>
      <c r="D223" s="3"/>
      <c r="E223" s="3" t="s">
        <v>12</v>
      </c>
      <c r="F223" s="3" t="s">
        <v>13</v>
      </c>
      <c r="G223" s="3" t="s">
        <v>14</v>
      </c>
      <c r="H223" s="3">
        <f>MONTH(Table1[[#This Row],[Date]])</f>
        <v>8</v>
      </c>
      <c r="I223" s="8">
        <f>WEEKDAY(Table1[[#This Row],[Date]])</f>
        <v>6</v>
      </c>
      <c r="J223" s="3">
        <f>(Table1[[#This Row],[Credit]]-Table1[[#This Row],[Debit]])</f>
        <v>-5</v>
      </c>
    </row>
    <row r="224" spans="1:10" x14ac:dyDescent="0.25">
      <c r="A224" s="7">
        <v>44422</v>
      </c>
      <c r="B224" s="3" t="s">
        <v>11</v>
      </c>
      <c r="C224" s="3">
        <v>5</v>
      </c>
      <c r="D224" s="3"/>
      <c r="E224" s="3" t="s">
        <v>12</v>
      </c>
      <c r="F224" s="3" t="s">
        <v>13</v>
      </c>
      <c r="G224" s="3" t="s">
        <v>14</v>
      </c>
      <c r="H224" s="3">
        <f>MONTH(Table1[[#This Row],[Date]])</f>
        <v>8</v>
      </c>
      <c r="I224" s="8">
        <f>WEEKDAY(Table1[[#This Row],[Date]])</f>
        <v>7</v>
      </c>
      <c r="J224" s="3">
        <f>(Table1[[#This Row],[Credit]]-Table1[[#This Row],[Debit]])</f>
        <v>-5</v>
      </c>
    </row>
    <row r="225" spans="1:10" x14ac:dyDescent="0.25">
      <c r="A225" s="7">
        <v>44423</v>
      </c>
      <c r="B225" s="3" t="s">
        <v>11</v>
      </c>
      <c r="C225" s="3">
        <v>5</v>
      </c>
      <c r="D225" s="3"/>
      <c r="E225" s="3" t="s">
        <v>12</v>
      </c>
      <c r="F225" s="3" t="s">
        <v>13</v>
      </c>
      <c r="G225" s="3" t="s">
        <v>14</v>
      </c>
      <c r="H225" s="3">
        <f>MONTH(Table1[[#This Row],[Date]])</f>
        <v>8</v>
      </c>
      <c r="I225" s="8">
        <f>WEEKDAY(Table1[[#This Row],[Date]])</f>
        <v>1</v>
      </c>
      <c r="J225" s="3">
        <f>(Table1[[#This Row],[Credit]]-Table1[[#This Row],[Debit]])</f>
        <v>-5</v>
      </c>
    </row>
    <row r="226" spans="1:10" x14ac:dyDescent="0.25">
      <c r="A226" s="7">
        <v>44424</v>
      </c>
      <c r="B226" s="3" t="s">
        <v>21</v>
      </c>
      <c r="C226" s="3">
        <v>174</v>
      </c>
      <c r="D226" s="3"/>
      <c r="E226" s="3" t="s">
        <v>22</v>
      </c>
      <c r="F226" s="3" t="s">
        <v>17</v>
      </c>
      <c r="G226" s="3" t="s">
        <v>14</v>
      </c>
      <c r="H226" s="3">
        <f>MONTH(Table1[[#This Row],[Date]])</f>
        <v>8</v>
      </c>
      <c r="I226" s="8">
        <f>WEEKDAY(Table1[[#This Row],[Date]])</f>
        <v>2</v>
      </c>
      <c r="J226" s="3">
        <f>(Table1[[#This Row],[Credit]]-Table1[[#This Row],[Debit]])</f>
        <v>-174</v>
      </c>
    </row>
    <row r="227" spans="1:10" x14ac:dyDescent="0.25">
      <c r="A227" s="7">
        <v>44425</v>
      </c>
      <c r="B227" s="3" t="s">
        <v>43</v>
      </c>
      <c r="C227" s="3">
        <v>41.1</v>
      </c>
      <c r="D227" s="3"/>
      <c r="E227" s="3" t="s">
        <v>32</v>
      </c>
      <c r="F227" s="3" t="s">
        <v>13</v>
      </c>
      <c r="G227" s="3" t="s">
        <v>14</v>
      </c>
      <c r="H227" s="3">
        <f>MONTH(Table1[[#This Row],[Date]])</f>
        <v>8</v>
      </c>
      <c r="I227" s="8">
        <f>WEEKDAY(Table1[[#This Row],[Date]])</f>
        <v>3</v>
      </c>
      <c r="J227" s="3">
        <f>(Table1[[#This Row],[Credit]]-Table1[[#This Row],[Debit]])</f>
        <v>-41.1</v>
      </c>
    </row>
    <row r="228" spans="1:10" x14ac:dyDescent="0.25">
      <c r="A228" s="7">
        <v>44426</v>
      </c>
      <c r="B228" s="3" t="s">
        <v>44</v>
      </c>
      <c r="C228" s="3">
        <v>16.2</v>
      </c>
      <c r="D228" s="3"/>
      <c r="E228" s="3" t="s">
        <v>32</v>
      </c>
      <c r="F228" s="3" t="s">
        <v>13</v>
      </c>
      <c r="G228" s="3" t="s">
        <v>14</v>
      </c>
      <c r="H228" s="3">
        <f>MONTH(Table1[[#This Row],[Date]])</f>
        <v>8</v>
      </c>
      <c r="I228" s="8">
        <f>WEEKDAY(Table1[[#This Row],[Date]])</f>
        <v>4</v>
      </c>
      <c r="J228" s="3">
        <f>(Table1[[#This Row],[Credit]]-Table1[[#This Row],[Debit]])</f>
        <v>-16.2</v>
      </c>
    </row>
    <row r="229" spans="1:10" x14ac:dyDescent="0.25">
      <c r="A229" s="7">
        <v>44427</v>
      </c>
      <c r="B229" s="3" t="s">
        <v>45</v>
      </c>
      <c r="C229" s="3">
        <v>55</v>
      </c>
      <c r="D229" s="3"/>
      <c r="E229" s="3" t="s">
        <v>46</v>
      </c>
      <c r="F229" s="3" t="s">
        <v>47</v>
      </c>
      <c r="G229" s="3" t="s">
        <v>14</v>
      </c>
      <c r="H229" s="3">
        <f>MONTH(Table1[[#This Row],[Date]])</f>
        <v>8</v>
      </c>
      <c r="I229" s="8">
        <f>WEEKDAY(Table1[[#This Row],[Date]])</f>
        <v>5</v>
      </c>
      <c r="J229" s="3">
        <f>(Table1[[#This Row],[Credit]]-Table1[[#This Row],[Debit]])</f>
        <v>-55</v>
      </c>
    </row>
    <row r="230" spans="1:10" x14ac:dyDescent="0.25">
      <c r="A230" s="7">
        <v>44428</v>
      </c>
      <c r="B230" s="3" t="s">
        <v>25</v>
      </c>
      <c r="C230" s="3">
        <v>67</v>
      </c>
      <c r="D230" s="3"/>
      <c r="E230" s="3" t="s">
        <v>48</v>
      </c>
      <c r="F230" s="3" t="s">
        <v>20</v>
      </c>
      <c r="G230" s="3" t="s">
        <v>14</v>
      </c>
      <c r="H230" s="3">
        <f>MONTH(Table1[[#This Row],[Date]])</f>
        <v>8</v>
      </c>
      <c r="I230" s="8">
        <f>WEEKDAY(Table1[[#This Row],[Date]])</f>
        <v>6</v>
      </c>
      <c r="J230" s="3">
        <f>(Table1[[#This Row],[Credit]]-Table1[[#This Row],[Debit]])</f>
        <v>-67</v>
      </c>
    </row>
    <row r="231" spans="1:10" x14ac:dyDescent="0.25">
      <c r="A231" s="7">
        <v>44429</v>
      </c>
      <c r="B231" s="3" t="s">
        <v>11</v>
      </c>
      <c r="C231" s="3">
        <v>5</v>
      </c>
      <c r="D231" s="3"/>
      <c r="E231" s="3" t="s">
        <v>12</v>
      </c>
      <c r="F231" s="3" t="s">
        <v>13</v>
      </c>
      <c r="G231" s="3" t="s">
        <v>14</v>
      </c>
      <c r="H231" s="3">
        <f>MONTH(Table1[[#This Row],[Date]])</f>
        <v>8</v>
      </c>
      <c r="I231" s="8">
        <f>WEEKDAY(Table1[[#This Row],[Date]])</f>
        <v>7</v>
      </c>
      <c r="J231" s="3">
        <f>(Table1[[#This Row],[Credit]]-Table1[[#This Row],[Debit]])</f>
        <v>-5</v>
      </c>
    </row>
    <row r="232" spans="1:10" x14ac:dyDescent="0.25">
      <c r="A232" s="7">
        <v>44430</v>
      </c>
      <c r="B232" s="3" t="s">
        <v>11</v>
      </c>
      <c r="C232" s="3">
        <v>5</v>
      </c>
      <c r="D232" s="3"/>
      <c r="E232" s="3" t="s">
        <v>12</v>
      </c>
      <c r="F232" s="3" t="s">
        <v>13</v>
      </c>
      <c r="G232" s="3" t="s">
        <v>14</v>
      </c>
      <c r="H232" s="3">
        <f>MONTH(Table1[[#This Row],[Date]])</f>
        <v>8</v>
      </c>
      <c r="I232" s="8">
        <f>WEEKDAY(Table1[[#This Row],[Date]])</f>
        <v>1</v>
      </c>
      <c r="J232" s="3">
        <f>(Table1[[#This Row],[Credit]]-Table1[[#This Row],[Debit]])</f>
        <v>-5</v>
      </c>
    </row>
    <row r="233" spans="1:10" x14ac:dyDescent="0.25">
      <c r="A233" s="7">
        <v>44431</v>
      </c>
      <c r="B233" s="3" t="s">
        <v>11</v>
      </c>
      <c r="C233" s="3">
        <v>5</v>
      </c>
      <c r="D233" s="3"/>
      <c r="E233" s="3" t="s">
        <v>12</v>
      </c>
      <c r="F233" s="3" t="s">
        <v>13</v>
      </c>
      <c r="G233" s="3" t="s">
        <v>14</v>
      </c>
      <c r="H233" s="3">
        <f>MONTH(Table1[[#This Row],[Date]])</f>
        <v>8</v>
      </c>
      <c r="I233" s="8">
        <f>WEEKDAY(Table1[[#This Row],[Date]])</f>
        <v>2</v>
      </c>
      <c r="J233" s="3">
        <f>(Table1[[#This Row],[Credit]]-Table1[[#This Row],[Debit]])</f>
        <v>-5</v>
      </c>
    </row>
    <row r="234" spans="1:10" x14ac:dyDescent="0.25">
      <c r="A234" s="7">
        <v>44432</v>
      </c>
      <c r="B234" s="3" t="s">
        <v>11</v>
      </c>
      <c r="C234" s="3">
        <v>5</v>
      </c>
      <c r="D234" s="3"/>
      <c r="E234" s="3" t="s">
        <v>12</v>
      </c>
      <c r="F234" s="3" t="s">
        <v>13</v>
      </c>
      <c r="G234" s="3" t="s">
        <v>14</v>
      </c>
      <c r="H234" s="3">
        <f>MONTH(Table1[[#This Row],[Date]])</f>
        <v>8</v>
      </c>
      <c r="I234" s="8">
        <f>WEEKDAY(Table1[[#This Row],[Date]])</f>
        <v>3</v>
      </c>
      <c r="J234" s="3">
        <f>(Table1[[#This Row],[Credit]]-Table1[[#This Row],[Debit]])</f>
        <v>-5</v>
      </c>
    </row>
    <row r="235" spans="1:10" x14ac:dyDescent="0.25">
      <c r="A235" s="7">
        <v>44433</v>
      </c>
      <c r="B235" s="3" t="s">
        <v>11</v>
      </c>
      <c r="C235" s="3">
        <v>5</v>
      </c>
      <c r="D235" s="3"/>
      <c r="E235" s="3" t="s">
        <v>12</v>
      </c>
      <c r="F235" s="3" t="s">
        <v>13</v>
      </c>
      <c r="G235" s="3" t="s">
        <v>14</v>
      </c>
      <c r="H235" s="3">
        <f>MONTH(Table1[[#This Row],[Date]])</f>
        <v>8</v>
      </c>
      <c r="I235" s="8">
        <f>WEEKDAY(Table1[[#This Row],[Date]])</f>
        <v>4</v>
      </c>
      <c r="J235" s="3">
        <f>(Table1[[#This Row],[Credit]]-Table1[[#This Row],[Debit]])</f>
        <v>-5</v>
      </c>
    </row>
    <row r="236" spans="1:10" x14ac:dyDescent="0.25">
      <c r="A236" s="7">
        <v>44434</v>
      </c>
      <c r="B236" s="3" t="s">
        <v>21</v>
      </c>
      <c r="C236" s="3">
        <v>165.8</v>
      </c>
      <c r="D236" s="3"/>
      <c r="E236" s="3" t="s">
        <v>22</v>
      </c>
      <c r="F236" s="3" t="s">
        <v>17</v>
      </c>
      <c r="G236" s="3" t="s">
        <v>14</v>
      </c>
      <c r="H236" s="3">
        <f>MONTH(Table1[[#This Row],[Date]])</f>
        <v>8</v>
      </c>
      <c r="I236" s="8">
        <f>WEEKDAY(Table1[[#This Row],[Date]])</f>
        <v>5</v>
      </c>
      <c r="J236" s="3">
        <f>(Table1[[#This Row],[Credit]]-Table1[[#This Row],[Debit]])</f>
        <v>-165.8</v>
      </c>
    </row>
    <row r="237" spans="1:10" x14ac:dyDescent="0.25">
      <c r="A237" s="7">
        <v>44435</v>
      </c>
      <c r="B237" s="3" t="s">
        <v>49</v>
      </c>
      <c r="C237" s="3">
        <v>128.80000000000001</v>
      </c>
      <c r="D237" s="3"/>
      <c r="E237" s="3" t="s">
        <v>30</v>
      </c>
      <c r="F237" s="3" t="s">
        <v>28</v>
      </c>
      <c r="G237" s="3" t="s">
        <v>14</v>
      </c>
      <c r="H237" s="3">
        <f>MONTH(Table1[[#This Row],[Date]])</f>
        <v>8</v>
      </c>
      <c r="I237" s="8">
        <f>WEEKDAY(Table1[[#This Row],[Date]])</f>
        <v>6</v>
      </c>
      <c r="J237" s="3">
        <f>(Table1[[#This Row],[Credit]]-Table1[[#This Row],[Debit]])</f>
        <v>-128.80000000000001</v>
      </c>
    </row>
    <row r="238" spans="1:10" x14ac:dyDescent="0.25">
      <c r="A238" s="7">
        <v>44436</v>
      </c>
      <c r="B238" s="3" t="s">
        <v>58</v>
      </c>
      <c r="C238" s="3">
        <v>235</v>
      </c>
      <c r="D238" s="3"/>
      <c r="E238" s="3" t="s">
        <v>59</v>
      </c>
      <c r="F238" s="3" t="s">
        <v>28</v>
      </c>
      <c r="G238" s="3" t="s">
        <v>14</v>
      </c>
      <c r="H238" s="3">
        <f>MONTH(Table1[[#This Row],[Date]])</f>
        <v>8</v>
      </c>
      <c r="I238" s="8">
        <f>WEEKDAY(Table1[[#This Row],[Date]])</f>
        <v>7</v>
      </c>
      <c r="J238" s="3">
        <f>(Table1[[#This Row],[Credit]]-Table1[[#This Row],[Debit]])</f>
        <v>-235</v>
      </c>
    </row>
    <row r="239" spans="1:10" x14ac:dyDescent="0.25">
      <c r="A239" s="7">
        <v>44437</v>
      </c>
      <c r="B239" s="3" t="s">
        <v>29</v>
      </c>
      <c r="C239" s="3">
        <v>149.19999999999999</v>
      </c>
      <c r="D239" s="3"/>
      <c r="E239" s="3" t="s">
        <v>30</v>
      </c>
      <c r="F239" s="3" t="s">
        <v>28</v>
      </c>
      <c r="G239" s="3" t="s">
        <v>14</v>
      </c>
      <c r="H239" s="3">
        <f>MONTH(Table1[[#This Row],[Date]])</f>
        <v>8</v>
      </c>
      <c r="I239" s="8">
        <f>WEEKDAY(Table1[[#This Row],[Date]])</f>
        <v>1</v>
      </c>
      <c r="J239" s="3">
        <f>(Table1[[#This Row],[Credit]]-Table1[[#This Row],[Debit]])</f>
        <v>-149.19999999999999</v>
      </c>
    </row>
    <row r="240" spans="1:10" x14ac:dyDescent="0.25">
      <c r="A240" s="7">
        <v>44438</v>
      </c>
      <c r="B240" s="3" t="s">
        <v>33</v>
      </c>
      <c r="C240" s="3">
        <v>27.200000000000003</v>
      </c>
      <c r="D240" s="3"/>
      <c r="E240" s="3" t="s">
        <v>34</v>
      </c>
      <c r="F240" s="3" t="s">
        <v>20</v>
      </c>
      <c r="G240" s="3" t="s">
        <v>14</v>
      </c>
      <c r="H240" s="3">
        <f>MONTH(Table1[[#This Row],[Date]])</f>
        <v>8</v>
      </c>
      <c r="I240" s="8">
        <f>WEEKDAY(Table1[[#This Row],[Date]])</f>
        <v>2</v>
      </c>
      <c r="J240" s="3">
        <f>(Table1[[#This Row],[Credit]]-Table1[[#This Row],[Debit]])</f>
        <v>-27.200000000000003</v>
      </c>
    </row>
    <row r="241" spans="1:10" x14ac:dyDescent="0.25">
      <c r="A241" s="7">
        <v>44439</v>
      </c>
      <c r="B241" s="3" t="s">
        <v>56</v>
      </c>
      <c r="C241" s="3">
        <v>15</v>
      </c>
      <c r="D241" s="3"/>
      <c r="E241" s="3" t="s">
        <v>32</v>
      </c>
      <c r="F241" s="3" t="s">
        <v>13</v>
      </c>
      <c r="G241" s="3" t="s">
        <v>14</v>
      </c>
      <c r="H241" s="3">
        <f>MONTH(Table1[[#This Row],[Date]])</f>
        <v>8</v>
      </c>
      <c r="I241" s="8">
        <f>WEEKDAY(Table1[[#This Row],[Date]])</f>
        <v>3</v>
      </c>
      <c r="J241" s="3">
        <f>(Table1[[#This Row],[Credit]]-Table1[[#This Row],[Debit]])</f>
        <v>-15</v>
      </c>
    </row>
    <row r="242" spans="1:10" x14ac:dyDescent="0.25">
      <c r="A242" s="7">
        <v>44440</v>
      </c>
      <c r="B242" s="3" t="s">
        <v>11</v>
      </c>
      <c r="C242" s="3">
        <v>5</v>
      </c>
      <c r="D242" s="3"/>
      <c r="E242" s="3" t="s">
        <v>12</v>
      </c>
      <c r="F242" s="3" t="s">
        <v>13</v>
      </c>
      <c r="G242" s="3" t="s">
        <v>14</v>
      </c>
      <c r="H242" s="3">
        <f>MONTH(Table1[[#This Row],[Date]])</f>
        <v>9</v>
      </c>
      <c r="I242" s="8">
        <f>WEEKDAY(Table1[[#This Row],[Date]])</f>
        <v>4</v>
      </c>
      <c r="J242" s="3">
        <f>(Table1[[#This Row],[Credit]]-Table1[[#This Row],[Debit]])</f>
        <v>-5</v>
      </c>
    </row>
    <row r="243" spans="1:10" x14ac:dyDescent="0.25">
      <c r="A243" s="7">
        <v>44441</v>
      </c>
      <c r="B243" s="3" t="s">
        <v>11</v>
      </c>
      <c r="C243" s="3">
        <v>5</v>
      </c>
      <c r="D243" s="3"/>
      <c r="E243" s="3" t="s">
        <v>12</v>
      </c>
      <c r="F243" s="3" t="s">
        <v>13</v>
      </c>
      <c r="G243" s="3" t="s">
        <v>14</v>
      </c>
      <c r="H243" s="3">
        <f>MONTH(Table1[[#This Row],[Date]])</f>
        <v>9</v>
      </c>
      <c r="I243" s="8">
        <f>WEEKDAY(Table1[[#This Row],[Date]])</f>
        <v>5</v>
      </c>
      <c r="J243" s="3">
        <f>(Table1[[#This Row],[Credit]]-Table1[[#This Row],[Debit]])</f>
        <v>-5</v>
      </c>
    </row>
    <row r="244" spans="1:10" x14ac:dyDescent="0.25">
      <c r="A244" s="7">
        <v>44442</v>
      </c>
      <c r="B244" s="3" t="s">
        <v>7</v>
      </c>
      <c r="C244" s="3"/>
      <c r="D244" s="3">
        <v>5000</v>
      </c>
      <c r="E244" s="3" t="s">
        <v>8</v>
      </c>
      <c r="F244" s="3" t="s">
        <v>9</v>
      </c>
      <c r="G244" s="3" t="s">
        <v>10</v>
      </c>
      <c r="H244" s="3">
        <f>MONTH(Table1[[#This Row],[Date]])</f>
        <v>9</v>
      </c>
      <c r="I244" s="8">
        <f>WEEKDAY(Table1[[#This Row],[Date]])</f>
        <v>6</v>
      </c>
      <c r="J244" s="3">
        <f>(Table1[[#This Row],[Credit]]-Table1[[#This Row],[Debit]])</f>
        <v>5000</v>
      </c>
    </row>
    <row r="245" spans="1:10" x14ac:dyDescent="0.25">
      <c r="A245" s="7">
        <v>44443</v>
      </c>
      <c r="B245" s="3" t="s">
        <v>11</v>
      </c>
      <c r="C245" s="3">
        <v>5</v>
      </c>
      <c r="D245" s="3"/>
      <c r="E245" s="3" t="s">
        <v>12</v>
      </c>
      <c r="F245" s="3" t="s">
        <v>13</v>
      </c>
      <c r="G245" s="3" t="s">
        <v>14</v>
      </c>
      <c r="H245" s="3">
        <f>MONTH(Table1[[#This Row],[Date]])</f>
        <v>9</v>
      </c>
      <c r="I245" s="8">
        <f>WEEKDAY(Table1[[#This Row],[Date]])</f>
        <v>7</v>
      </c>
      <c r="J245" s="3">
        <f>(Table1[[#This Row],[Credit]]-Table1[[#This Row],[Debit]])</f>
        <v>-5</v>
      </c>
    </row>
    <row r="246" spans="1:10" x14ac:dyDescent="0.25">
      <c r="A246" s="7">
        <v>44444</v>
      </c>
      <c r="B246" s="3" t="s">
        <v>15</v>
      </c>
      <c r="C246" s="3">
        <v>900</v>
      </c>
      <c r="D246" s="3"/>
      <c r="E246" s="3" t="s">
        <v>16</v>
      </c>
      <c r="F246" s="3" t="s">
        <v>17</v>
      </c>
      <c r="G246" s="3" t="s">
        <v>14</v>
      </c>
      <c r="H246" s="3">
        <f>MONTH(Table1[[#This Row],[Date]])</f>
        <v>9</v>
      </c>
      <c r="I246" s="8">
        <f>WEEKDAY(Table1[[#This Row],[Date]])</f>
        <v>1</v>
      </c>
      <c r="J246" s="3">
        <f>(Table1[[#This Row],[Credit]]-Table1[[#This Row],[Debit]])</f>
        <v>-900</v>
      </c>
    </row>
    <row r="247" spans="1:10" x14ac:dyDescent="0.25">
      <c r="A247" s="7">
        <v>44445</v>
      </c>
      <c r="B247" s="3" t="s">
        <v>18</v>
      </c>
      <c r="C247" s="3">
        <v>150</v>
      </c>
      <c r="D247" s="3"/>
      <c r="E247" s="3" t="s">
        <v>19</v>
      </c>
      <c r="F247" s="3" t="s">
        <v>20</v>
      </c>
      <c r="G247" s="3" t="s">
        <v>14</v>
      </c>
      <c r="H247" s="3">
        <f>MONTH(Table1[[#This Row],[Date]])</f>
        <v>9</v>
      </c>
      <c r="I247" s="8">
        <f>WEEKDAY(Table1[[#This Row],[Date]])</f>
        <v>2</v>
      </c>
      <c r="J247" s="3">
        <f>(Table1[[#This Row],[Credit]]-Table1[[#This Row],[Debit]])</f>
        <v>-150</v>
      </c>
    </row>
    <row r="248" spans="1:10" x14ac:dyDescent="0.25">
      <c r="A248" s="7">
        <v>44446</v>
      </c>
      <c r="B248" s="3" t="s">
        <v>11</v>
      </c>
      <c r="C248" s="3">
        <v>5</v>
      </c>
      <c r="D248" s="3"/>
      <c r="E248" s="3" t="s">
        <v>12</v>
      </c>
      <c r="F248" s="3" t="s">
        <v>13</v>
      </c>
      <c r="G248" s="3" t="s">
        <v>14</v>
      </c>
      <c r="H248" s="3">
        <f>MONTH(Table1[[#This Row],[Date]])</f>
        <v>9</v>
      </c>
      <c r="I248" s="8">
        <f>WEEKDAY(Table1[[#This Row],[Date]])</f>
        <v>3</v>
      </c>
      <c r="J248" s="3">
        <f>(Table1[[#This Row],[Credit]]-Table1[[#This Row],[Debit]])</f>
        <v>-5</v>
      </c>
    </row>
    <row r="249" spans="1:10" x14ac:dyDescent="0.25">
      <c r="A249" s="7">
        <v>44447</v>
      </c>
      <c r="B249" s="3" t="s">
        <v>11</v>
      </c>
      <c r="C249" s="3">
        <v>5</v>
      </c>
      <c r="D249" s="3"/>
      <c r="E249" s="3" t="s">
        <v>12</v>
      </c>
      <c r="F249" s="3" t="s">
        <v>13</v>
      </c>
      <c r="G249" s="3" t="s">
        <v>14</v>
      </c>
      <c r="H249" s="3">
        <f>MONTH(Table1[[#This Row],[Date]])</f>
        <v>9</v>
      </c>
      <c r="I249" s="8">
        <f>WEEKDAY(Table1[[#This Row],[Date]])</f>
        <v>4</v>
      </c>
      <c r="J249" s="3">
        <f>(Table1[[#This Row],[Credit]]-Table1[[#This Row],[Debit]])</f>
        <v>-5</v>
      </c>
    </row>
    <row r="250" spans="1:10" x14ac:dyDescent="0.25">
      <c r="A250" s="7">
        <v>44448</v>
      </c>
      <c r="B250" s="3" t="s">
        <v>11</v>
      </c>
      <c r="C250" s="3">
        <v>5</v>
      </c>
      <c r="D250" s="3"/>
      <c r="E250" s="3" t="s">
        <v>12</v>
      </c>
      <c r="F250" s="3" t="s">
        <v>13</v>
      </c>
      <c r="G250" s="3" t="s">
        <v>14</v>
      </c>
      <c r="H250" s="3">
        <f>MONTH(Table1[[#This Row],[Date]])</f>
        <v>9</v>
      </c>
      <c r="I250" s="8">
        <f>WEEKDAY(Table1[[#This Row],[Date]])</f>
        <v>5</v>
      </c>
      <c r="J250" s="3">
        <f>(Table1[[#This Row],[Credit]]-Table1[[#This Row],[Debit]])</f>
        <v>-5</v>
      </c>
    </row>
    <row r="251" spans="1:10" x14ac:dyDescent="0.25">
      <c r="A251" s="7">
        <v>44449</v>
      </c>
      <c r="B251" s="3" t="s">
        <v>11</v>
      </c>
      <c r="C251" s="3">
        <v>5</v>
      </c>
      <c r="D251" s="3"/>
      <c r="E251" s="3" t="s">
        <v>12</v>
      </c>
      <c r="F251" s="3" t="s">
        <v>13</v>
      </c>
      <c r="G251" s="3" t="s">
        <v>14</v>
      </c>
      <c r="H251" s="3">
        <f>MONTH(Table1[[#This Row],[Date]])</f>
        <v>9</v>
      </c>
      <c r="I251" s="8">
        <f>WEEKDAY(Table1[[#This Row],[Date]])</f>
        <v>6</v>
      </c>
      <c r="J251" s="3">
        <f>(Table1[[#This Row],[Credit]]-Table1[[#This Row],[Debit]])</f>
        <v>-5</v>
      </c>
    </row>
    <row r="252" spans="1:10" x14ac:dyDescent="0.25">
      <c r="A252" s="7">
        <v>44450</v>
      </c>
      <c r="B252" s="3" t="s">
        <v>21</v>
      </c>
      <c r="C252" s="3">
        <v>119</v>
      </c>
      <c r="D252" s="3"/>
      <c r="E252" s="3" t="s">
        <v>22</v>
      </c>
      <c r="F252" s="3" t="s">
        <v>17</v>
      </c>
      <c r="G252" s="3" t="s">
        <v>14</v>
      </c>
      <c r="H252" s="3">
        <f>MONTH(Table1[[#This Row],[Date]])</f>
        <v>9</v>
      </c>
      <c r="I252" s="8">
        <f>WEEKDAY(Table1[[#This Row],[Date]])</f>
        <v>7</v>
      </c>
      <c r="J252" s="3">
        <f>(Table1[[#This Row],[Credit]]-Table1[[#This Row],[Debit]])</f>
        <v>-119</v>
      </c>
    </row>
    <row r="253" spans="1:10" x14ac:dyDescent="0.25">
      <c r="A253" s="7">
        <v>44451</v>
      </c>
      <c r="B253" s="3" t="s">
        <v>23</v>
      </c>
      <c r="C253" s="3">
        <v>55</v>
      </c>
      <c r="D253" s="3"/>
      <c r="E253" s="3" t="s">
        <v>24</v>
      </c>
      <c r="F253" s="3" t="s">
        <v>17</v>
      </c>
      <c r="G253" s="3" t="s">
        <v>14</v>
      </c>
      <c r="H253" s="3">
        <f>MONTH(Table1[[#This Row],[Date]])</f>
        <v>9</v>
      </c>
      <c r="I253" s="8">
        <f>WEEKDAY(Table1[[#This Row],[Date]])</f>
        <v>1</v>
      </c>
      <c r="J253" s="3">
        <f>(Table1[[#This Row],[Credit]]-Table1[[#This Row],[Debit]])</f>
        <v>-55</v>
      </c>
    </row>
    <row r="254" spans="1:10" x14ac:dyDescent="0.25">
      <c r="A254" s="7">
        <v>44452</v>
      </c>
      <c r="B254" s="3" t="s">
        <v>11</v>
      </c>
      <c r="C254" s="3">
        <v>5</v>
      </c>
      <c r="D254" s="3"/>
      <c r="E254" s="3" t="s">
        <v>12</v>
      </c>
      <c r="F254" s="3" t="s">
        <v>13</v>
      </c>
      <c r="G254" s="3" t="s">
        <v>14</v>
      </c>
      <c r="H254" s="3">
        <f>MONTH(Table1[[#This Row],[Date]])</f>
        <v>9</v>
      </c>
      <c r="I254" s="8">
        <f>WEEKDAY(Table1[[#This Row],[Date]])</f>
        <v>2</v>
      </c>
      <c r="J254" s="3">
        <f>(Table1[[#This Row],[Credit]]-Table1[[#This Row],[Debit]])</f>
        <v>-5</v>
      </c>
    </row>
    <row r="255" spans="1:10" x14ac:dyDescent="0.25">
      <c r="A255" s="7">
        <v>44453</v>
      </c>
      <c r="B255" s="3" t="s">
        <v>11</v>
      </c>
      <c r="C255" s="3">
        <v>5</v>
      </c>
      <c r="D255" s="3"/>
      <c r="E255" s="3" t="s">
        <v>12</v>
      </c>
      <c r="F255" s="3" t="s">
        <v>13</v>
      </c>
      <c r="G255" s="3" t="s">
        <v>14</v>
      </c>
      <c r="H255" s="3">
        <f>MONTH(Table1[[#This Row],[Date]])</f>
        <v>9</v>
      </c>
      <c r="I255" s="8">
        <f>WEEKDAY(Table1[[#This Row],[Date]])</f>
        <v>3</v>
      </c>
      <c r="J255" s="3">
        <f>(Table1[[#This Row],[Credit]]-Table1[[#This Row],[Debit]])</f>
        <v>-5</v>
      </c>
    </row>
    <row r="256" spans="1:10" x14ac:dyDescent="0.25">
      <c r="A256" s="7">
        <v>44454</v>
      </c>
      <c r="B256" s="3" t="s">
        <v>25</v>
      </c>
      <c r="C256" s="3">
        <v>82.1</v>
      </c>
      <c r="D256" s="3"/>
      <c r="E256" s="3" t="s">
        <v>48</v>
      </c>
      <c r="F256" s="3" t="s">
        <v>20</v>
      </c>
      <c r="G256" s="3" t="s">
        <v>14</v>
      </c>
      <c r="H256" s="3">
        <f>MONTH(Table1[[#This Row],[Date]])</f>
        <v>9</v>
      </c>
      <c r="I256" s="8">
        <f>WEEKDAY(Table1[[#This Row],[Date]])</f>
        <v>4</v>
      </c>
      <c r="J256" s="3">
        <f>(Table1[[#This Row],[Credit]]-Table1[[#This Row],[Debit]])</f>
        <v>-82.1</v>
      </c>
    </row>
    <row r="257" spans="1:10" x14ac:dyDescent="0.25">
      <c r="A257" s="7">
        <v>44455</v>
      </c>
      <c r="B257" s="3" t="s">
        <v>11</v>
      </c>
      <c r="C257" s="3">
        <v>5</v>
      </c>
      <c r="D257" s="3"/>
      <c r="E257" s="3" t="s">
        <v>12</v>
      </c>
      <c r="F257" s="3" t="s">
        <v>13</v>
      </c>
      <c r="G257" s="3" t="s">
        <v>14</v>
      </c>
      <c r="H257" s="3">
        <f>MONTH(Table1[[#This Row],[Date]])</f>
        <v>9</v>
      </c>
      <c r="I257" s="8">
        <f>WEEKDAY(Table1[[#This Row],[Date]])</f>
        <v>5</v>
      </c>
      <c r="J257" s="3">
        <f>(Table1[[#This Row],[Credit]]-Table1[[#This Row],[Debit]])</f>
        <v>-5</v>
      </c>
    </row>
    <row r="258" spans="1:10" x14ac:dyDescent="0.25">
      <c r="A258" s="7">
        <v>44456</v>
      </c>
      <c r="B258" s="3" t="s">
        <v>11</v>
      </c>
      <c r="C258" s="3">
        <v>5</v>
      </c>
      <c r="D258" s="3"/>
      <c r="E258" s="3" t="s">
        <v>12</v>
      </c>
      <c r="F258" s="3" t="s">
        <v>13</v>
      </c>
      <c r="G258" s="3" t="s">
        <v>14</v>
      </c>
      <c r="H258" s="3">
        <f>MONTH(Table1[[#This Row],[Date]])</f>
        <v>9</v>
      </c>
      <c r="I258" s="8">
        <f>WEEKDAY(Table1[[#This Row],[Date]])</f>
        <v>6</v>
      </c>
      <c r="J258" s="3">
        <f>(Table1[[#This Row],[Credit]]-Table1[[#This Row],[Debit]])</f>
        <v>-5</v>
      </c>
    </row>
    <row r="259" spans="1:10" x14ac:dyDescent="0.25">
      <c r="A259" s="7">
        <v>44457</v>
      </c>
      <c r="B259" s="3" t="s">
        <v>21</v>
      </c>
      <c r="C259" s="3">
        <v>140.19999999999999</v>
      </c>
      <c r="D259" s="3"/>
      <c r="E259" s="3" t="s">
        <v>22</v>
      </c>
      <c r="F259" s="3" t="s">
        <v>17</v>
      </c>
      <c r="G259" s="3" t="s">
        <v>14</v>
      </c>
      <c r="H259" s="3">
        <f>MONTH(Table1[[#This Row],[Date]])</f>
        <v>9</v>
      </c>
      <c r="I259" s="8">
        <f>WEEKDAY(Table1[[#This Row],[Date]])</f>
        <v>7</v>
      </c>
      <c r="J259" s="3">
        <f>(Table1[[#This Row],[Credit]]-Table1[[#This Row],[Debit]])</f>
        <v>-140.19999999999999</v>
      </c>
    </row>
    <row r="260" spans="1:10" x14ac:dyDescent="0.25">
      <c r="A260" s="7">
        <v>44458</v>
      </c>
      <c r="B260" s="3" t="s">
        <v>11</v>
      </c>
      <c r="C260" s="3">
        <v>5</v>
      </c>
      <c r="D260" s="3"/>
      <c r="E260" s="3" t="s">
        <v>12</v>
      </c>
      <c r="F260" s="3" t="s">
        <v>13</v>
      </c>
      <c r="G260" s="3" t="s">
        <v>14</v>
      </c>
      <c r="H260" s="3">
        <f>MONTH(Table1[[#This Row],[Date]])</f>
        <v>9</v>
      </c>
      <c r="I260" s="8">
        <f>WEEKDAY(Table1[[#This Row],[Date]])</f>
        <v>1</v>
      </c>
      <c r="J260" s="3">
        <f>(Table1[[#This Row],[Credit]]-Table1[[#This Row],[Debit]])</f>
        <v>-5</v>
      </c>
    </row>
    <row r="261" spans="1:10" x14ac:dyDescent="0.25">
      <c r="A261" s="7">
        <v>44459</v>
      </c>
      <c r="B261" s="3" t="s">
        <v>11</v>
      </c>
      <c r="C261" s="3">
        <v>5</v>
      </c>
      <c r="D261" s="3"/>
      <c r="E261" s="3" t="s">
        <v>12</v>
      </c>
      <c r="F261" s="3" t="s">
        <v>13</v>
      </c>
      <c r="G261" s="3" t="s">
        <v>14</v>
      </c>
      <c r="H261" s="3">
        <f>MONTH(Table1[[#This Row],[Date]])</f>
        <v>9</v>
      </c>
      <c r="I261" s="8">
        <f>WEEKDAY(Table1[[#This Row],[Date]])</f>
        <v>2</v>
      </c>
      <c r="J261" s="3">
        <f>(Table1[[#This Row],[Credit]]-Table1[[#This Row],[Debit]])</f>
        <v>-5</v>
      </c>
    </row>
    <row r="262" spans="1:10" x14ac:dyDescent="0.25">
      <c r="A262" s="7">
        <v>44460</v>
      </c>
      <c r="B262" s="3" t="s">
        <v>26</v>
      </c>
      <c r="C262" s="3">
        <v>44.9</v>
      </c>
      <c r="D262" s="3"/>
      <c r="E262" s="3" t="s">
        <v>27</v>
      </c>
      <c r="F262" s="3" t="s">
        <v>28</v>
      </c>
      <c r="G262" s="3" t="s">
        <v>14</v>
      </c>
      <c r="H262" s="3">
        <f>MONTH(Table1[[#This Row],[Date]])</f>
        <v>9</v>
      </c>
      <c r="I262" s="8">
        <f>WEEKDAY(Table1[[#This Row],[Date]])</f>
        <v>3</v>
      </c>
      <c r="J262" s="3">
        <f>(Table1[[#This Row],[Credit]]-Table1[[#This Row],[Debit]])</f>
        <v>-44.9</v>
      </c>
    </row>
    <row r="263" spans="1:10" x14ac:dyDescent="0.25">
      <c r="A263" s="7">
        <v>44461</v>
      </c>
      <c r="B263" s="3" t="s">
        <v>29</v>
      </c>
      <c r="C263" s="3">
        <v>102.9</v>
      </c>
      <c r="D263" s="3"/>
      <c r="E263" s="3" t="s">
        <v>30</v>
      </c>
      <c r="F263" s="3" t="s">
        <v>28</v>
      </c>
      <c r="G263" s="3" t="s">
        <v>14</v>
      </c>
      <c r="H263" s="3">
        <f>MONTH(Table1[[#This Row],[Date]])</f>
        <v>9</v>
      </c>
      <c r="I263" s="8">
        <f>WEEKDAY(Table1[[#This Row],[Date]])</f>
        <v>4</v>
      </c>
      <c r="J263" s="3">
        <f>(Table1[[#This Row],[Credit]]-Table1[[#This Row],[Debit]])</f>
        <v>-102.9</v>
      </c>
    </row>
    <row r="264" spans="1:10" x14ac:dyDescent="0.25">
      <c r="A264" s="7">
        <v>44462</v>
      </c>
      <c r="B264" s="3" t="s">
        <v>31</v>
      </c>
      <c r="C264" s="3">
        <v>56.9</v>
      </c>
      <c r="D264" s="3"/>
      <c r="E264" s="3" t="s">
        <v>32</v>
      </c>
      <c r="F264" s="3" t="s">
        <v>13</v>
      </c>
      <c r="G264" s="3" t="s">
        <v>14</v>
      </c>
      <c r="H264" s="3">
        <f>MONTH(Table1[[#This Row],[Date]])</f>
        <v>9</v>
      </c>
      <c r="I264" s="8">
        <f>WEEKDAY(Table1[[#This Row],[Date]])</f>
        <v>5</v>
      </c>
      <c r="J264" s="3">
        <f>(Table1[[#This Row],[Credit]]-Table1[[#This Row],[Debit]])</f>
        <v>-56.9</v>
      </c>
    </row>
    <row r="265" spans="1:10" x14ac:dyDescent="0.25">
      <c r="A265" s="7">
        <v>44463</v>
      </c>
      <c r="B265" s="3" t="s">
        <v>33</v>
      </c>
      <c r="C265" s="3">
        <v>33.1</v>
      </c>
      <c r="D265" s="3"/>
      <c r="E265" s="3" t="s">
        <v>34</v>
      </c>
      <c r="F265" s="3" t="s">
        <v>20</v>
      </c>
      <c r="G265" s="3" t="s">
        <v>14</v>
      </c>
      <c r="H265" s="3">
        <f>MONTH(Table1[[#This Row],[Date]])</f>
        <v>9</v>
      </c>
      <c r="I265" s="8">
        <f>WEEKDAY(Table1[[#This Row],[Date]])</f>
        <v>6</v>
      </c>
      <c r="J265" s="3">
        <f>(Table1[[#This Row],[Credit]]-Table1[[#This Row],[Debit]])</f>
        <v>-33.1</v>
      </c>
    </row>
    <row r="266" spans="1:10" x14ac:dyDescent="0.25">
      <c r="A266" s="7">
        <v>44464</v>
      </c>
      <c r="B266" s="3" t="s">
        <v>35</v>
      </c>
      <c r="C266" s="3"/>
      <c r="D266" s="3">
        <v>100</v>
      </c>
      <c r="E266" s="3" t="s">
        <v>36</v>
      </c>
      <c r="F266" s="3" t="s">
        <v>37</v>
      </c>
      <c r="G266" s="3" t="s">
        <v>10</v>
      </c>
      <c r="H266" s="3">
        <f>MONTH(Table1[[#This Row],[Date]])</f>
        <v>9</v>
      </c>
      <c r="I266" s="8">
        <f>WEEKDAY(Table1[[#This Row],[Date]])</f>
        <v>7</v>
      </c>
      <c r="J266" s="3">
        <f>(Table1[[#This Row],[Credit]]-Table1[[#This Row],[Debit]])</f>
        <v>100</v>
      </c>
    </row>
    <row r="267" spans="1:10" x14ac:dyDescent="0.25">
      <c r="A267" s="7">
        <v>44465</v>
      </c>
      <c r="B267" s="3" t="s">
        <v>11</v>
      </c>
      <c r="C267" s="3">
        <v>5</v>
      </c>
      <c r="D267" s="3"/>
      <c r="E267" s="3" t="s">
        <v>12</v>
      </c>
      <c r="F267" s="3" t="s">
        <v>13</v>
      </c>
      <c r="G267" s="3" t="s">
        <v>14</v>
      </c>
      <c r="H267" s="3">
        <f>MONTH(Table1[[#This Row],[Date]])</f>
        <v>9</v>
      </c>
      <c r="I267" s="8">
        <f>WEEKDAY(Table1[[#This Row],[Date]])</f>
        <v>1</v>
      </c>
      <c r="J267" s="3">
        <f>(Table1[[#This Row],[Credit]]-Table1[[#This Row],[Debit]])</f>
        <v>-5</v>
      </c>
    </row>
    <row r="268" spans="1:10" x14ac:dyDescent="0.25">
      <c r="A268" s="7">
        <v>44466</v>
      </c>
      <c r="B268" s="3" t="s">
        <v>11</v>
      </c>
      <c r="C268" s="3">
        <v>5</v>
      </c>
      <c r="D268" s="3"/>
      <c r="E268" s="3" t="s">
        <v>12</v>
      </c>
      <c r="F268" s="3" t="s">
        <v>13</v>
      </c>
      <c r="G268" s="3" t="s">
        <v>14</v>
      </c>
      <c r="H268" s="3">
        <f>MONTH(Table1[[#This Row],[Date]])</f>
        <v>9</v>
      </c>
      <c r="I268" s="8">
        <f>WEEKDAY(Table1[[#This Row],[Date]])</f>
        <v>2</v>
      </c>
      <c r="J268" s="3">
        <f>(Table1[[#This Row],[Credit]]-Table1[[#This Row],[Debit]])</f>
        <v>-5</v>
      </c>
    </row>
    <row r="269" spans="1:10" x14ac:dyDescent="0.25">
      <c r="A269" s="7">
        <v>44467</v>
      </c>
      <c r="B269" s="3" t="s">
        <v>39</v>
      </c>
      <c r="C269" s="3">
        <v>40</v>
      </c>
      <c r="D269" s="3"/>
      <c r="E269" s="3" t="s">
        <v>39</v>
      </c>
      <c r="F269" s="3" t="s">
        <v>17</v>
      </c>
      <c r="G269" s="3" t="s">
        <v>14</v>
      </c>
      <c r="H269" s="3">
        <f>MONTH(Table1[[#This Row],[Date]])</f>
        <v>9</v>
      </c>
      <c r="I269" s="8">
        <f>WEEKDAY(Table1[[#This Row],[Date]])</f>
        <v>3</v>
      </c>
      <c r="J269" s="3">
        <f>(Table1[[#This Row],[Credit]]-Table1[[#This Row],[Debit]])</f>
        <v>-40</v>
      </c>
    </row>
    <row r="270" spans="1:10" x14ac:dyDescent="0.25">
      <c r="A270" s="7">
        <v>44468</v>
      </c>
      <c r="B270" s="3" t="s">
        <v>40</v>
      </c>
      <c r="C270" s="3">
        <v>50.1</v>
      </c>
      <c r="D270" s="3"/>
      <c r="E270" s="3" t="s">
        <v>41</v>
      </c>
      <c r="F270" s="3" t="s">
        <v>28</v>
      </c>
      <c r="G270" s="3" t="s">
        <v>14</v>
      </c>
      <c r="H270" s="3">
        <f>MONTH(Table1[[#This Row],[Date]])</f>
        <v>9</v>
      </c>
      <c r="I270" s="8">
        <f>WEEKDAY(Table1[[#This Row],[Date]])</f>
        <v>4</v>
      </c>
      <c r="J270" s="3">
        <f>(Table1[[#This Row],[Credit]]-Table1[[#This Row],[Debit]])</f>
        <v>-50.1</v>
      </c>
    </row>
    <row r="271" spans="1:10" x14ac:dyDescent="0.25">
      <c r="A271" s="7">
        <v>44469</v>
      </c>
      <c r="B271" s="3" t="s">
        <v>42</v>
      </c>
      <c r="C271" s="3">
        <v>35</v>
      </c>
      <c r="D271" s="3"/>
      <c r="E271" s="3" t="s">
        <v>27</v>
      </c>
      <c r="F271" s="3" t="s">
        <v>28</v>
      </c>
      <c r="G271" s="3" t="s">
        <v>14</v>
      </c>
      <c r="H271" s="3">
        <f>MONTH(Table1[[#This Row],[Date]])</f>
        <v>9</v>
      </c>
      <c r="I271" s="8">
        <f>WEEKDAY(Table1[[#This Row],[Date]])</f>
        <v>5</v>
      </c>
      <c r="J271" s="3">
        <f>(Table1[[#This Row],[Credit]]-Table1[[#This Row],[Debit]])</f>
        <v>-35</v>
      </c>
    </row>
    <row r="272" spans="1:10" x14ac:dyDescent="0.25">
      <c r="A272" s="7">
        <v>44470</v>
      </c>
      <c r="B272" s="3" t="s">
        <v>11</v>
      </c>
      <c r="C272" s="3">
        <v>5</v>
      </c>
      <c r="D272" s="3"/>
      <c r="E272" s="3" t="s">
        <v>12</v>
      </c>
      <c r="F272" s="3" t="s">
        <v>13</v>
      </c>
      <c r="G272" s="3" t="s">
        <v>14</v>
      </c>
      <c r="H272" s="3">
        <f>MONTH(Table1[[#This Row],[Date]])</f>
        <v>10</v>
      </c>
      <c r="I272" s="8">
        <f>WEEKDAY(Table1[[#This Row],[Date]])</f>
        <v>6</v>
      </c>
      <c r="J272" s="3">
        <f>(Table1[[#This Row],[Credit]]-Table1[[#This Row],[Debit]])</f>
        <v>-5</v>
      </c>
    </row>
    <row r="273" spans="1:10" x14ac:dyDescent="0.25">
      <c r="A273" s="7">
        <v>44471</v>
      </c>
      <c r="B273" s="3" t="s">
        <v>11</v>
      </c>
      <c r="C273" s="3">
        <v>5</v>
      </c>
      <c r="D273" s="3"/>
      <c r="E273" s="3" t="s">
        <v>12</v>
      </c>
      <c r="F273" s="3" t="s">
        <v>13</v>
      </c>
      <c r="G273" s="3" t="s">
        <v>14</v>
      </c>
      <c r="H273" s="3">
        <f>MONTH(Table1[[#This Row],[Date]])</f>
        <v>10</v>
      </c>
      <c r="I273" s="8">
        <f>WEEKDAY(Table1[[#This Row],[Date]])</f>
        <v>7</v>
      </c>
      <c r="J273" s="3">
        <f>(Table1[[#This Row],[Credit]]-Table1[[#This Row],[Debit]])</f>
        <v>-5</v>
      </c>
    </row>
    <row r="274" spans="1:10" x14ac:dyDescent="0.25">
      <c r="A274" s="7">
        <v>44472</v>
      </c>
      <c r="B274" s="3" t="s">
        <v>11</v>
      </c>
      <c r="C274" s="3">
        <v>5</v>
      </c>
      <c r="D274" s="3"/>
      <c r="E274" s="3" t="s">
        <v>12</v>
      </c>
      <c r="F274" s="3" t="s">
        <v>13</v>
      </c>
      <c r="G274" s="3" t="s">
        <v>14</v>
      </c>
      <c r="H274" s="3">
        <f>MONTH(Table1[[#This Row],[Date]])</f>
        <v>10</v>
      </c>
      <c r="I274" s="8">
        <f>WEEKDAY(Table1[[#This Row],[Date]])</f>
        <v>1</v>
      </c>
      <c r="J274" s="3">
        <f>(Table1[[#This Row],[Credit]]-Table1[[#This Row],[Debit]])</f>
        <v>-5</v>
      </c>
    </row>
    <row r="275" spans="1:10" x14ac:dyDescent="0.25">
      <c r="A275" s="7">
        <v>44473</v>
      </c>
      <c r="B275" s="3" t="s">
        <v>21</v>
      </c>
      <c r="C275" s="3">
        <v>234</v>
      </c>
      <c r="D275" s="3"/>
      <c r="E275" s="3" t="s">
        <v>22</v>
      </c>
      <c r="F275" s="3" t="s">
        <v>17</v>
      </c>
      <c r="G275" s="3" t="s">
        <v>14</v>
      </c>
      <c r="H275" s="3">
        <f>MONTH(Table1[[#This Row],[Date]])</f>
        <v>10</v>
      </c>
      <c r="I275" s="8">
        <f>WEEKDAY(Table1[[#This Row],[Date]])</f>
        <v>2</v>
      </c>
      <c r="J275" s="3">
        <f>(Table1[[#This Row],[Credit]]-Table1[[#This Row],[Debit]])</f>
        <v>-234</v>
      </c>
    </row>
    <row r="276" spans="1:10" x14ac:dyDescent="0.25">
      <c r="A276" s="7">
        <v>44474</v>
      </c>
      <c r="B276" s="3" t="s">
        <v>43</v>
      </c>
      <c r="C276" s="3">
        <v>42.1</v>
      </c>
      <c r="D276" s="3"/>
      <c r="E276" s="3" t="s">
        <v>32</v>
      </c>
      <c r="F276" s="3" t="s">
        <v>13</v>
      </c>
      <c r="G276" s="3" t="s">
        <v>14</v>
      </c>
      <c r="H276" s="3">
        <f>MONTH(Table1[[#This Row],[Date]])</f>
        <v>10</v>
      </c>
      <c r="I276" s="8">
        <f>WEEKDAY(Table1[[#This Row],[Date]])</f>
        <v>3</v>
      </c>
      <c r="J276" s="3">
        <f>(Table1[[#This Row],[Credit]]-Table1[[#This Row],[Debit]])</f>
        <v>-42.1</v>
      </c>
    </row>
    <row r="277" spans="1:10" x14ac:dyDescent="0.25">
      <c r="A277" s="7">
        <v>44475</v>
      </c>
      <c r="B277" s="3" t="s">
        <v>44</v>
      </c>
      <c r="C277" s="3">
        <v>17.099999999999998</v>
      </c>
      <c r="D277" s="3"/>
      <c r="E277" s="3" t="s">
        <v>32</v>
      </c>
      <c r="F277" s="3" t="s">
        <v>13</v>
      </c>
      <c r="G277" s="3" t="s">
        <v>14</v>
      </c>
      <c r="H277" s="3">
        <f>MONTH(Table1[[#This Row],[Date]])</f>
        <v>10</v>
      </c>
      <c r="I277" s="8">
        <f>WEEKDAY(Table1[[#This Row],[Date]])</f>
        <v>4</v>
      </c>
      <c r="J277" s="3">
        <f>(Table1[[#This Row],[Credit]]-Table1[[#This Row],[Debit]])</f>
        <v>-17.099999999999998</v>
      </c>
    </row>
    <row r="278" spans="1:10" x14ac:dyDescent="0.25">
      <c r="A278" s="7">
        <v>44476</v>
      </c>
      <c r="B278" s="3" t="s">
        <v>45</v>
      </c>
      <c r="C278" s="3">
        <v>55</v>
      </c>
      <c r="D278" s="3"/>
      <c r="E278" s="3" t="s">
        <v>46</v>
      </c>
      <c r="F278" s="3" t="s">
        <v>47</v>
      </c>
      <c r="G278" s="3" t="s">
        <v>14</v>
      </c>
      <c r="H278" s="3">
        <f>MONTH(Table1[[#This Row],[Date]])</f>
        <v>10</v>
      </c>
      <c r="I278" s="8">
        <f>WEEKDAY(Table1[[#This Row],[Date]])</f>
        <v>5</v>
      </c>
      <c r="J278" s="3">
        <f>(Table1[[#This Row],[Credit]]-Table1[[#This Row],[Debit]])</f>
        <v>-55</v>
      </c>
    </row>
    <row r="279" spans="1:10" x14ac:dyDescent="0.25">
      <c r="A279" s="7">
        <v>44477</v>
      </c>
      <c r="B279" s="3" t="s">
        <v>25</v>
      </c>
      <c r="C279" s="3">
        <v>67.900000000000006</v>
      </c>
      <c r="D279" s="3"/>
      <c r="E279" s="3" t="s">
        <v>48</v>
      </c>
      <c r="F279" s="3" t="s">
        <v>20</v>
      </c>
      <c r="G279" s="3" t="s">
        <v>14</v>
      </c>
      <c r="H279" s="3">
        <f>MONTH(Table1[[#This Row],[Date]])</f>
        <v>10</v>
      </c>
      <c r="I279" s="8">
        <f>WEEKDAY(Table1[[#This Row],[Date]])</f>
        <v>6</v>
      </c>
      <c r="J279" s="3">
        <f>(Table1[[#This Row],[Credit]]-Table1[[#This Row],[Debit]])</f>
        <v>-67.900000000000006</v>
      </c>
    </row>
    <row r="280" spans="1:10" x14ac:dyDescent="0.25">
      <c r="A280" s="7">
        <v>44478</v>
      </c>
      <c r="B280" s="3" t="s">
        <v>11</v>
      </c>
      <c r="C280" s="3">
        <v>5</v>
      </c>
      <c r="D280" s="3"/>
      <c r="E280" s="3" t="s">
        <v>12</v>
      </c>
      <c r="F280" s="3" t="s">
        <v>13</v>
      </c>
      <c r="G280" s="3" t="s">
        <v>14</v>
      </c>
      <c r="H280" s="3">
        <f>MONTH(Table1[[#This Row],[Date]])</f>
        <v>10</v>
      </c>
      <c r="I280" s="8">
        <f>WEEKDAY(Table1[[#This Row],[Date]])</f>
        <v>7</v>
      </c>
      <c r="J280" s="3">
        <f>(Table1[[#This Row],[Credit]]-Table1[[#This Row],[Debit]])</f>
        <v>-5</v>
      </c>
    </row>
    <row r="281" spans="1:10" x14ac:dyDescent="0.25">
      <c r="A281" s="7">
        <v>44479</v>
      </c>
      <c r="B281" s="3" t="s">
        <v>11</v>
      </c>
      <c r="C281" s="3">
        <v>5</v>
      </c>
      <c r="D281" s="3"/>
      <c r="E281" s="3" t="s">
        <v>12</v>
      </c>
      <c r="F281" s="3" t="s">
        <v>13</v>
      </c>
      <c r="G281" s="3" t="s">
        <v>14</v>
      </c>
      <c r="H281" s="3">
        <f>MONTH(Table1[[#This Row],[Date]])</f>
        <v>10</v>
      </c>
      <c r="I281" s="8">
        <f>WEEKDAY(Table1[[#This Row],[Date]])</f>
        <v>1</v>
      </c>
      <c r="J281" s="3">
        <f>(Table1[[#This Row],[Credit]]-Table1[[#This Row],[Debit]])</f>
        <v>-5</v>
      </c>
    </row>
    <row r="282" spans="1:10" x14ac:dyDescent="0.25">
      <c r="A282" s="7">
        <v>44480</v>
      </c>
      <c r="B282" s="3" t="s">
        <v>11</v>
      </c>
      <c r="C282" s="3">
        <v>5</v>
      </c>
      <c r="D282" s="3"/>
      <c r="E282" s="3" t="s">
        <v>12</v>
      </c>
      <c r="F282" s="3" t="s">
        <v>13</v>
      </c>
      <c r="G282" s="3" t="s">
        <v>14</v>
      </c>
      <c r="H282" s="3">
        <f>MONTH(Table1[[#This Row],[Date]])</f>
        <v>10</v>
      </c>
      <c r="I282" s="8">
        <f>WEEKDAY(Table1[[#This Row],[Date]])</f>
        <v>2</v>
      </c>
      <c r="J282" s="3">
        <f>(Table1[[#This Row],[Credit]]-Table1[[#This Row],[Debit]])</f>
        <v>-5</v>
      </c>
    </row>
    <row r="283" spans="1:10" x14ac:dyDescent="0.25">
      <c r="A283" s="7">
        <v>44481</v>
      </c>
      <c r="B283" s="3" t="s">
        <v>11</v>
      </c>
      <c r="C283" s="3">
        <v>5</v>
      </c>
      <c r="D283" s="3"/>
      <c r="E283" s="3" t="s">
        <v>12</v>
      </c>
      <c r="F283" s="3" t="s">
        <v>13</v>
      </c>
      <c r="G283" s="3" t="s">
        <v>14</v>
      </c>
      <c r="H283" s="3">
        <f>MONTH(Table1[[#This Row],[Date]])</f>
        <v>10</v>
      </c>
      <c r="I283" s="8">
        <f>WEEKDAY(Table1[[#This Row],[Date]])</f>
        <v>3</v>
      </c>
      <c r="J283" s="3">
        <f>(Table1[[#This Row],[Credit]]-Table1[[#This Row],[Debit]])</f>
        <v>-5</v>
      </c>
    </row>
    <row r="284" spans="1:10" x14ac:dyDescent="0.25">
      <c r="A284" s="7">
        <v>44482</v>
      </c>
      <c r="B284" s="3" t="s">
        <v>11</v>
      </c>
      <c r="C284" s="3">
        <v>5</v>
      </c>
      <c r="D284" s="3"/>
      <c r="E284" s="3" t="s">
        <v>12</v>
      </c>
      <c r="F284" s="3" t="s">
        <v>13</v>
      </c>
      <c r="G284" s="3" t="s">
        <v>14</v>
      </c>
      <c r="H284" s="3">
        <f>MONTH(Table1[[#This Row],[Date]])</f>
        <v>10</v>
      </c>
      <c r="I284" s="8">
        <f>WEEKDAY(Table1[[#This Row],[Date]])</f>
        <v>4</v>
      </c>
      <c r="J284" s="3">
        <f>(Table1[[#This Row],[Credit]]-Table1[[#This Row],[Debit]])</f>
        <v>-5</v>
      </c>
    </row>
    <row r="285" spans="1:10" x14ac:dyDescent="0.25">
      <c r="A285" s="7">
        <v>44483</v>
      </c>
      <c r="B285" s="3" t="s">
        <v>21</v>
      </c>
      <c r="C285" s="3">
        <v>166.9</v>
      </c>
      <c r="D285" s="3"/>
      <c r="E285" s="3" t="s">
        <v>22</v>
      </c>
      <c r="F285" s="3" t="s">
        <v>17</v>
      </c>
      <c r="G285" s="3" t="s">
        <v>14</v>
      </c>
      <c r="H285" s="3">
        <f>MONTH(Table1[[#This Row],[Date]])</f>
        <v>10</v>
      </c>
      <c r="I285" s="8">
        <f>WEEKDAY(Table1[[#This Row],[Date]])</f>
        <v>5</v>
      </c>
      <c r="J285" s="3">
        <f>(Table1[[#This Row],[Credit]]-Table1[[#This Row],[Debit]])</f>
        <v>-166.9</v>
      </c>
    </row>
    <row r="286" spans="1:10" x14ac:dyDescent="0.25">
      <c r="A286" s="7">
        <v>44484</v>
      </c>
      <c r="B286" s="3" t="s">
        <v>49</v>
      </c>
      <c r="C286" s="3">
        <v>129.9</v>
      </c>
      <c r="D286" s="3"/>
      <c r="E286" s="3" t="s">
        <v>30</v>
      </c>
      <c r="F286" s="3" t="s">
        <v>28</v>
      </c>
      <c r="G286" s="3" t="s">
        <v>14</v>
      </c>
      <c r="H286" s="3">
        <f>MONTH(Table1[[#This Row],[Date]])</f>
        <v>10</v>
      </c>
      <c r="I286" s="8">
        <f>WEEKDAY(Table1[[#This Row],[Date]])</f>
        <v>6</v>
      </c>
      <c r="J286" s="3">
        <f>(Table1[[#This Row],[Credit]]-Table1[[#This Row],[Debit]])</f>
        <v>-129.9</v>
      </c>
    </row>
    <row r="287" spans="1:10" x14ac:dyDescent="0.25">
      <c r="A287" s="7">
        <v>44485</v>
      </c>
      <c r="B287" s="3" t="s">
        <v>50</v>
      </c>
      <c r="C287" s="3">
        <v>180.29999999999998</v>
      </c>
      <c r="D287" s="3"/>
      <c r="E287" s="3" t="s">
        <v>27</v>
      </c>
      <c r="F287" s="3" t="s">
        <v>28</v>
      </c>
      <c r="G287" s="3" t="s">
        <v>14</v>
      </c>
      <c r="H287" s="3">
        <f>MONTH(Table1[[#This Row],[Date]])</f>
        <v>10</v>
      </c>
      <c r="I287" s="8">
        <f>WEEKDAY(Table1[[#This Row],[Date]])</f>
        <v>7</v>
      </c>
      <c r="J287" s="3">
        <f>(Table1[[#This Row],[Credit]]-Table1[[#This Row],[Debit]])</f>
        <v>-180.29999999999998</v>
      </c>
    </row>
    <row r="288" spans="1:10" x14ac:dyDescent="0.25">
      <c r="A288" s="7">
        <v>44486</v>
      </c>
      <c r="B288" s="3" t="s">
        <v>29</v>
      </c>
      <c r="C288" s="3">
        <v>150.1</v>
      </c>
      <c r="D288" s="3"/>
      <c r="E288" s="3" t="s">
        <v>30</v>
      </c>
      <c r="F288" s="3" t="s">
        <v>28</v>
      </c>
      <c r="G288" s="3" t="s">
        <v>14</v>
      </c>
      <c r="H288" s="3">
        <f>MONTH(Table1[[#This Row],[Date]])</f>
        <v>10</v>
      </c>
      <c r="I288" s="8">
        <f>WEEKDAY(Table1[[#This Row],[Date]])</f>
        <v>1</v>
      </c>
      <c r="J288" s="3">
        <f>(Table1[[#This Row],[Credit]]-Table1[[#This Row],[Debit]])</f>
        <v>-150.1</v>
      </c>
    </row>
    <row r="289" spans="1:10" x14ac:dyDescent="0.25">
      <c r="A289" s="7">
        <v>44487</v>
      </c>
      <c r="B289" s="3" t="s">
        <v>33</v>
      </c>
      <c r="C289" s="3">
        <v>28.200000000000003</v>
      </c>
      <c r="D289" s="3"/>
      <c r="E289" s="3" t="s">
        <v>34</v>
      </c>
      <c r="F289" s="3" t="s">
        <v>20</v>
      </c>
      <c r="G289" s="3" t="s">
        <v>14</v>
      </c>
      <c r="H289" s="3">
        <f>MONTH(Table1[[#This Row],[Date]])</f>
        <v>10</v>
      </c>
      <c r="I289" s="8">
        <f>WEEKDAY(Table1[[#This Row],[Date]])</f>
        <v>2</v>
      </c>
      <c r="J289" s="3">
        <f>(Table1[[#This Row],[Credit]]-Table1[[#This Row],[Debit]])</f>
        <v>-28.200000000000003</v>
      </c>
    </row>
    <row r="290" spans="1:10" x14ac:dyDescent="0.25">
      <c r="A290" s="7">
        <v>44488</v>
      </c>
      <c r="B290" s="3" t="s">
        <v>56</v>
      </c>
      <c r="C290" s="3">
        <v>15</v>
      </c>
      <c r="D290" s="3"/>
      <c r="E290" s="3" t="s">
        <v>32</v>
      </c>
      <c r="F290" s="3" t="s">
        <v>13</v>
      </c>
      <c r="G290" s="3" t="s">
        <v>14</v>
      </c>
      <c r="H290" s="3">
        <f>MONTH(Table1[[#This Row],[Date]])</f>
        <v>10</v>
      </c>
      <c r="I290" s="8">
        <f>WEEKDAY(Table1[[#This Row],[Date]])</f>
        <v>3</v>
      </c>
      <c r="J290" s="3">
        <f>(Table1[[#This Row],[Credit]]-Table1[[#This Row],[Debit]])</f>
        <v>-15</v>
      </c>
    </row>
    <row r="291" spans="1:10" x14ac:dyDescent="0.25">
      <c r="A291" s="7">
        <v>44489</v>
      </c>
      <c r="B291" s="3" t="s">
        <v>11</v>
      </c>
      <c r="C291" s="3">
        <v>5</v>
      </c>
      <c r="D291" s="3"/>
      <c r="E291" s="3" t="s">
        <v>12</v>
      </c>
      <c r="F291" s="3" t="s">
        <v>13</v>
      </c>
      <c r="G291" s="3" t="s">
        <v>14</v>
      </c>
      <c r="H291" s="3">
        <f>MONTH(Table1[[#This Row],[Date]])</f>
        <v>10</v>
      </c>
      <c r="I291" s="8">
        <f>WEEKDAY(Table1[[#This Row],[Date]])</f>
        <v>4</v>
      </c>
      <c r="J291" s="3">
        <f>(Table1[[#This Row],[Credit]]-Table1[[#This Row],[Debit]])</f>
        <v>-5</v>
      </c>
    </row>
    <row r="292" spans="1:10" x14ac:dyDescent="0.25">
      <c r="A292" s="7">
        <v>44490</v>
      </c>
      <c r="B292" s="3" t="s">
        <v>11</v>
      </c>
      <c r="C292" s="3">
        <v>5</v>
      </c>
      <c r="D292" s="3"/>
      <c r="E292" s="3" t="s">
        <v>12</v>
      </c>
      <c r="F292" s="3" t="s">
        <v>13</v>
      </c>
      <c r="G292" s="3" t="s">
        <v>14</v>
      </c>
      <c r="H292" s="3">
        <f>MONTH(Table1[[#This Row],[Date]])</f>
        <v>10</v>
      </c>
      <c r="I292" s="8">
        <f>WEEKDAY(Table1[[#This Row],[Date]])</f>
        <v>5</v>
      </c>
      <c r="J292" s="3">
        <f>(Table1[[#This Row],[Credit]]-Table1[[#This Row],[Debit]])</f>
        <v>-5</v>
      </c>
    </row>
    <row r="293" spans="1:10" x14ac:dyDescent="0.25">
      <c r="A293" s="7">
        <v>44491</v>
      </c>
      <c r="B293" s="3" t="s">
        <v>7</v>
      </c>
      <c r="C293" s="3"/>
      <c r="D293" s="3">
        <v>5000</v>
      </c>
      <c r="E293" s="3" t="s">
        <v>8</v>
      </c>
      <c r="F293" s="3" t="s">
        <v>9</v>
      </c>
      <c r="G293" s="3" t="s">
        <v>10</v>
      </c>
      <c r="H293" s="3">
        <f>MONTH(Table1[[#This Row],[Date]])</f>
        <v>10</v>
      </c>
      <c r="I293" s="8">
        <f>WEEKDAY(Table1[[#This Row],[Date]])</f>
        <v>6</v>
      </c>
      <c r="J293" s="3">
        <f>(Table1[[#This Row],[Credit]]-Table1[[#This Row],[Debit]])</f>
        <v>5000</v>
      </c>
    </row>
    <row r="294" spans="1:10" x14ac:dyDescent="0.25">
      <c r="A294" s="7">
        <v>44492</v>
      </c>
      <c r="B294" s="3" t="s">
        <v>11</v>
      </c>
      <c r="C294" s="3">
        <v>5</v>
      </c>
      <c r="D294" s="3"/>
      <c r="E294" s="3" t="s">
        <v>12</v>
      </c>
      <c r="F294" s="3" t="s">
        <v>13</v>
      </c>
      <c r="G294" s="3" t="s">
        <v>14</v>
      </c>
      <c r="H294" s="3">
        <f>MONTH(Table1[[#This Row],[Date]])</f>
        <v>10</v>
      </c>
      <c r="I294" s="8">
        <f>WEEKDAY(Table1[[#This Row],[Date]])</f>
        <v>7</v>
      </c>
      <c r="J294" s="3">
        <f>(Table1[[#This Row],[Credit]]-Table1[[#This Row],[Debit]])</f>
        <v>-5</v>
      </c>
    </row>
    <row r="295" spans="1:10" x14ac:dyDescent="0.25">
      <c r="A295" s="7">
        <v>44493</v>
      </c>
      <c r="B295" s="3" t="s">
        <v>15</v>
      </c>
      <c r="C295" s="3">
        <v>900</v>
      </c>
      <c r="D295" s="3"/>
      <c r="E295" s="3" t="s">
        <v>16</v>
      </c>
      <c r="F295" s="3" t="s">
        <v>17</v>
      </c>
      <c r="G295" s="3" t="s">
        <v>14</v>
      </c>
      <c r="H295" s="3">
        <f>MONTH(Table1[[#This Row],[Date]])</f>
        <v>10</v>
      </c>
      <c r="I295" s="8">
        <f>WEEKDAY(Table1[[#This Row],[Date]])</f>
        <v>1</v>
      </c>
      <c r="J295" s="3">
        <f>(Table1[[#This Row],[Credit]]-Table1[[#This Row],[Debit]])</f>
        <v>-900</v>
      </c>
    </row>
    <row r="296" spans="1:10" x14ac:dyDescent="0.25">
      <c r="A296" s="7">
        <v>44494</v>
      </c>
      <c r="B296" s="3" t="s">
        <v>18</v>
      </c>
      <c r="C296" s="3">
        <v>150</v>
      </c>
      <c r="D296" s="3"/>
      <c r="E296" s="3" t="s">
        <v>19</v>
      </c>
      <c r="F296" s="3" t="s">
        <v>20</v>
      </c>
      <c r="G296" s="3" t="s">
        <v>14</v>
      </c>
      <c r="H296" s="3">
        <f>MONTH(Table1[[#This Row],[Date]])</f>
        <v>10</v>
      </c>
      <c r="I296" s="8">
        <f>WEEKDAY(Table1[[#This Row],[Date]])</f>
        <v>2</v>
      </c>
      <c r="J296" s="3">
        <f>(Table1[[#This Row],[Credit]]-Table1[[#This Row],[Debit]])</f>
        <v>-150</v>
      </c>
    </row>
    <row r="297" spans="1:10" x14ac:dyDescent="0.25">
      <c r="A297" s="7">
        <v>44495</v>
      </c>
      <c r="B297" s="3" t="s">
        <v>60</v>
      </c>
      <c r="C297" s="3">
        <v>15</v>
      </c>
      <c r="D297" s="3"/>
      <c r="E297" s="3" t="s">
        <v>32</v>
      </c>
      <c r="F297" s="3" t="s">
        <v>13</v>
      </c>
      <c r="G297" s="3" t="s">
        <v>14</v>
      </c>
      <c r="H297" s="3">
        <f>MONTH(Table1[[#This Row],[Date]])</f>
        <v>10</v>
      </c>
      <c r="I297" s="8">
        <f>WEEKDAY(Table1[[#This Row],[Date]])</f>
        <v>3</v>
      </c>
      <c r="J297" s="3">
        <f>(Table1[[#This Row],[Credit]]-Table1[[#This Row],[Debit]])</f>
        <v>-15</v>
      </c>
    </row>
    <row r="298" spans="1:10" x14ac:dyDescent="0.25">
      <c r="A298" s="7">
        <v>44496</v>
      </c>
      <c r="B298" s="3" t="s">
        <v>11</v>
      </c>
      <c r="C298" s="3">
        <v>5</v>
      </c>
      <c r="D298" s="3"/>
      <c r="E298" s="3" t="s">
        <v>12</v>
      </c>
      <c r="F298" s="3" t="s">
        <v>13</v>
      </c>
      <c r="G298" s="3" t="s">
        <v>14</v>
      </c>
      <c r="H298" s="3">
        <f>MONTH(Table1[[#This Row],[Date]])</f>
        <v>10</v>
      </c>
      <c r="I298" s="8">
        <f>WEEKDAY(Table1[[#This Row],[Date]])</f>
        <v>4</v>
      </c>
      <c r="J298" s="3">
        <f>(Table1[[#This Row],[Credit]]-Table1[[#This Row],[Debit]])</f>
        <v>-5</v>
      </c>
    </row>
    <row r="299" spans="1:10" x14ac:dyDescent="0.25">
      <c r="A299" s="7">
        <v>44497</v>
      </c>
      <c r="B299" s="3" t="s">
        <v>11</v>
      </c>
      <c r="C299" s="3">
        <v>5</v>
      </c>
      <c r="D299" s="3"/>
      <c r="E299" s="3" t="s">
        <v>12</v>
      </c>
      <c r="F299" s="3" t="s">
        <v>13</v>
      </c>
      <c r="G299" s="3" t="s">
        <v>14</v>
      </c>
      <c r="H299" s="3">
        <f>MONTH(Table1[[#This Row],[Date]])</f>
        <v>10</v>
      </c>
      <c r="I299" s="8">
        <f>WEEKDAY(Table1[[#This Row],[Date]])</f>
        <v>5</v>
      </c>
      <c r="J299" s="3">
        <f>(Table1[[#This Row],[Credit]]-Table1[[#This Row],[Debit]])</f>
        <v>-5</v>
      </c>
    </row>
    <row r="300" spans="1:10" x14ac:dyDescent="0.25">
      <c r="A300" s="7">
        <v>44498</v>
      </c>
      <c r="B300" s="3" t="s">
        <v>11</v>
      </c>
      <c r="C300" s="3">
        <v>5</v>
      </c>
      <c r="D300" s="3"/>
      <c r="E300" s="3" t="s">
        <v>12</v>
      </c>
      <c r="F300" s="3" t="s">
        <v>13</v>
      </c>
      <c r="G300" s="3" t="s">
        <v>14</v>
      </c>
      <c r="H300" s="3">
        <f>MONTH(Table1[[#This Row],[Date]])</f>
        <v>10</v>
      </c>
      <c r="I300" s="8">
        <f>WEEKDAY(Table1[[#This Row],[Date]])</f>
        <v>6</v>
      </c>
      <c r="J300" s="3">
        <f>(Table1[[#This Row],[Credit]]-Table1[[#This Row],[Debit]])</f>
        <v>-5</v>
      </c>
    </row>
    <row r="301" spans="1:10" x14ac:dyDescent="0.25">
      <c r="A301" s="7">
        <v>44499</v>
      </c>
      <c r="B301" s="3" t="s">
        <v>21</v>
      </c>
      <c r="C301" s="3">
        <v>180</v>
      </c>
      <c r="D301" s="3"/>
      <c r="E301" s="3" t="s">
        <v>22</v>
      </c>
      <c r="F301" s="3" t="s">
        <v>17</v>
      </c>
      <c r="G301" s="3" t="s">
        <v>14</v>
      </c>
      <c r="H301" s="3">
        <f>MONTH(Table1[[#This Row],[Date]])</f>
        <v>10</v>
      </c>
      <c r="I301" s="8">
        <f>WEEKDAY(Table1[[#This Row],[Date]])</f>
        <v>7</v>
      </c>
      <c r="J301" s="3">
        <f>(Table1[[#This Row],[Credit]]-Table1[[#This Row],[Debit]])</f>
        <v>-180</v>
      </c>
    </row>
    <row r="302" spans="1:10" x14ac:dyDescent="0.25">
      <c r="A302" s="7">
        <v>44500</v>
      </c>
      <c r="B302" s="3" t="s">
        <v>23</v>
      </c>
      <c r="C302" s="3">
        <v>56.1</v>
      </c>
      <c r="D302" s="3"/>
      <c r="E302" s="3" t="s">
        <v>24</v>
      </c>
      <c r="F302" s="3" t="s">
        <v>17</v>
      </c>
      <c r="G302" s="3" t="s">
        <v>14</v>
      </c>
      <c r="H302" s="3">
        <f>MONTH(Table1[[#This Row],[Date]])</f>
        <v>10</v>
      </c>
      <c r="I302" s="8">
        <f>WEEKDAY(Table1[[#This Row],[Date]])</f>
        <v>1</v>
      </c>
      <c r="J302" s="3">
        <f>(Table1[[#This Row],[Credit]]-Table1[[#This Row],[Debit]])</f>
        <v>-56.1</v>
      </c>
    </row>
    <row r="303" spans="1:10" x14ac:dyDescent="0.25">
      <c r="A303" s="7">
        <v>44501</v>
      </c>
      <c r="B303" s="3" t="s">
        <v>11</v>
      </c>
      <c r="C303" s="3">
        <v>5</v>
      </c>
      <c r="D303" s="3"/>
      <c r="E303" s="3" t="s">
        <v>12</v>
      </c>
      <c r="F303" s="3" t="s">
        <v>13</v>
      </c>
      <c r="G303" s="3" t="s">
        <v>14</v>
      </c>
      <c r="H303" s="3">
        <f>MONTH(Table1[[#This Row],[Date]])</f>
        <v>11</v>
      </c>
      <c r="I303" s="8">
        <f>WEEKDAY(Table1[[#This Row],[Date]])</f>
        <v>2</v>
      </c>
      <c r="J303" s="3">
        <f>(Table1[[#This Row],[Credit]]-Table1[[#This Row],[Debit]])</f>
        <v>-5</v>
      </c>
    </row>
    <row r="304" spans="1:10" x14ac:dyDescent="0.25">
      <c r="A304" s="7">
        <v>44502</v>
      </c>
      <c r="B304" s="3" t="s">
        <v>11</v>
      </c>
      <c r="C304" s="3">
        <v>5</v>
      </c>
      <c r="D304" s="3"/>
      <c r="E304" s="3" t="s">
        <v>12</v>
      </c>
      <c r="F304" s="3" t="s">
        <v>13</v>
      </c>
      <c r="G304" s="3" t="s">
        <v>14</v>
      </c>
      <c r="H304" s="3">
        <f>MONTH(Table1[[#This Row],[Date]])</f>
        <v>11</v>
      </c>
      <c r="I304" s="8">
        <f>WEEKDAY(Table1[[#This Row],[Date]])</f>
        <v>3</v>
      </c>
      <c r="J304" s="3">
        <f>(Table1[[#This Row],[Credit]]-Table1[[#This Row],[Debit]])</f>
        <v>-5</v>
      </c>
    </row>
    <row r="305" spans="1:10" x14ac:dyDescent="0.25">
      <c r="A305" s="7">
        <v>44503</v>
      </c>
      <c r="B305" s="3" t="s">
        <v>25</v>
      </c>
      <c r="C305" s="3">
        <v>83.1</v>
      </c>
      <c r="D305" s="3"/>
      <c r="E305" s="3" t="s">
        <v>48</v>
      </c>
      <c r="F305" s="3" t="s">
        <v>20</v>
      </c>
      <c r="G305" s="3" t="s">
        <v>14</v>
      </c>
      <c r="H305" s="3">
        <f>MONTH(Table1[[#This Row],[Date]])</f>
        <v>11</v>
      </c>
      <c r="I305" s="8">
        <f>WEEKDAY(Table1[[#This Row],[Date]])</f>
        <v>4</v>
      </c>
      <c r="J305" s="3">
        <f>(Table1[[#This Row],[Credit]]-Table1[[#This Row],[Debit]])</f>
        <v>-83.1</v>
      </c>
    </row>
    <row r="306" spans="1:10" x14ac:dyDescent="0.25">
      <c r="A306" s="7">
        <v>44504</v>
      </c>
      <c r="B306" s="3" t="s">
        <v>11</v>
      </c>
      <c r="C306" s="3">
        <v>5</v>
      </c>
      <c r="D306" s="3"/>
      <c r="E306" s="3" t="s">
        <v>12</v>
      </c>
      <c r="F306" s="3" t="s">
        <v>13</v>
      </c>
      <c r="G306" s="3" t="s">
        <v>14</v>
      </c>
      <c r="H306" s="3">
        <f>MONTH(Table1[[#This Row],[Date]])</f>
        <v>11</v>
      </c>
      <c r="I306" s="8">
        <f>WEEKDAY(Table1[[#This Row],[Date]])</f>
        <v>5</v>
      </c>
      <c r="J306" s="3">
        <f>(Table1[[#This Row],[Credit]]-Table1[[#This Row],[Debit]])</f>
        <v>-5</v>
      </c>
    </row>
    <row r="307" spans="1:10" x14ac:dyDescent="0.25">
      <c r="A307" s="7">
        <v>44505</v>
      </c>
      <c r="B307" s="3" t="s">
        <v>11</v>
      </c>
      <c r="C307" s="3">
        <v>5</v>
      </c>
      <c r="D307" s="3"/>
      <c r="E307" s="3" t="s">
        <v>12</v>
      </c>
      <c r="F307" s="3" t="s">
        <v>13</v>
      </c>
      <c r="G307" s="3" t="s">
        <v>14</v>
      </c>
      <c r="H307" s="3">
        <f>MONTH(Table1[[#This Row],[Date]])</f>
        <v>11</v>
      </c>
      <c r="I307" s="8">
        <f>WEEKDAY(Table1[[#This Row],[Date]])</f>
        <v>6</v>
      </c>
      <c r="J307" s="3">
        <f>(Table1[[#This Row],[Credit]]-Table1[[#This Row],[Debit]])</f>
        <v>-5</v>
      </c>
    </row>
    <row r="308" spans="1:10" x14ac:dyDescent="0.25">
      <c r="A308" s="7">
        <v>44506</v>
      </c>
      <c r="B308" s="3" t="s">
        <v>21</v>
      </c>
      <c r="C308" s="3">
        <v>141.1</v>
      </c>
      <c r="D308" s="3"/>
      <c r="E308" s="3" t="s">
        <v>22</v>
      </c>
      <c r="F308" s="3" t="s">
        <v>17</v>
      </c>
      <c r="G308" s="3" t="s">
        <v>14</v>
      </c>
      <c r="H308" s="3">
        <f>MONTH(Table1[[#This Row],[Date]])</f>
        <v>11</v>
      </c>
      <c r="I308" s="8">
        <f>WEEKDAY(Table1[[#This Row],[Date]])</f>
        <v>7</v>
      </c>
      <c r="J308" s="3">
        <f>(Table1[[#This Row],[Credit]]-Table1[[#This Row],[Debit]])</f>
        <v>-141.1</v>
      </c>
    </row>
    <row r="309" spans="1:10" x14ac:dyDescent="0.25">
      <c r="A309" s="7">
        <v>44507</v>
      </c>
      <c r="B309" s="3" t="s">
        <v>11</v>
      </c>
      <c r="C309" s="3">
        <v>5</v>
      </c>
      <c r="D309" s="3"/>
      <c r="E309" s="3" t="s">
        <v>12</v>
      </c>
      <c r="F309" s="3" t="s">
        <v>13</v>
      </c>
      <c r="G309" s="3" t="s">
        <v>14</v>
      </c>
      <c r="H309" s="3">
        <f>MONTH(Table1[[#This Row],[Date]])</f>
        <v>11</v>
      </c>
      <c r="I309" s="8">
        <f>WEEKDAY(Table1[[#This Row],[Date]])</f>
        <v>1</v>
      </c>
      <c r="J309" s="3">
        <f>(Table1[[#This Row],[Credit]]-Table1[[#This Row],[Debit]])</f>
        <v>-5</v>
      </c>
    </row>
    <row r="310" spans="1:10" x14ac:dyDescent="0.25">
      <c r="A310" s="7">
        <v>44508</v>
      </c>
      <c r="B310" s="3" t="s">
        <v>11</v>
      </c>
      <c r="C310" s="3">
        <v>5</v>
      </c>
      <c r="D310" s="3"/>
      <c r="E310" s="3" t="s">
        <v>12</v>
      </c>
      <c r="F310" s="3" t="s">
        <v>13</v>
      </c>
      <c r="G310" s="3" t="s">
        <v>14</v>
      </c>
      <c r="H310" s="3">
        <f>MONTH(Table1[[#This Row],[Date]])</f>
        <v>11</v>
      </c>
      <c r="I310" s="8">
        <f>WEEKDAY(Table1[[#This Row],[Date]])</f>
        <v>2</v>
      </c>
      <c r="J310" s="3">
        <f>(Table1[[#This Row],[Credit]]-Table1[[#This Row],[Debit]])</f>
        <v>-5</v>
      </c>
    </row>
    <row r="311" spans="1:10" x14ac:dyDescent="0.25">
      <c r="A311" s="7">
        <v>44509</v>
      </c>
      <c r="B311" s="3" t="s">
        <v>26</v>
      </c>
      <c r="C311" s="3">
        <v>45.8</v>
      </c>
      <c r="D311" s="3"/>
      <c r="E311" s="3" t="s">
        <v>27</v>
      </c>
      <c r="F311" s="3" t="s">
        <v>28</v>
      </c>
      <c r="G311" s="3" t="s">
        <v>14</v>
      </c>
      <c r="H311" s="3">
        <f>MONTH(Table1[[#This Row],[Date]])</f>
        <v>11</v>
      </c>
      <c r="I311" s="8">
        <f>WEEKDAY(Table1[[#This Row],[Date]])</f>
        <v>3</v>
      </c>
      <c r="J311" s="3">
        <f>(Table1[[#This Row],[Credit]]-Table1[[#This Row],[Debit]])</f>
        <v>-45.8</v>
      </c>
    </row>
    <row r="312" spans="1:10" x14ac:dyDescent="0.25">
      <c r="A312" s="7">
        <v>44510</v>
      </c>
      <c r="B312" s="3" t="s">
        <v>29</v>
      </c>
      <c r="C312" s="3">
        <v>103.80000000000001</v>
      </c>
      <c r="D312" s="3"/>
      <c r="E312" s="3" t="s">
        <v>30</v>
      </c>
      <c r="F312" s="3" t="s">
        <v>28</v>
      </c>
      <c r="G312" s="3" t="s">
        <v>14</v>
      </c>
      <c r="H312" s="3">
        <f>MONTH(Table1[[#This Row],[Date]])</f>
        <v>11</v>
      </c>
      <c r="I312" s="8">
        <f>WEEKDAY(Table1[[#This Row],[Date]])</f>
        <v>4</v>
      </c>
      <c r="J312" s="3">
        <f>(Table1[[#This Row],[Credit]]-Table1[[#This Row],[Debit]])</f>
        <v>-103.80000000000001</v>
      </c>
    </row>
    <row r="313" spans="1:10" x14ac:dyDescent="0.25">
      <c r="A313" s="7">
        <v>44511</v>
      </c>
      <c r="B313" s="3" t="s">
        <v>31</v>
      </c>
      <c r="C313" s="3">
        <v>58</v>
      </c>
      <c r="D313" s="3"/>
      <c r="E313" s="3" t="s">
        <v>32</v>
      </c>
      <c r="F313" s="3" t="s">
        <v>13</v>
      </c>
      <c r="G313" s="3" t="s">
        <v>14</v>
      </c>
      <c r="H313" s="3">
        <f>MONTH(Table1[[#This Row],[Date]])</f>
        <v>11</v>
      </c>
      <c r="I313" s="8">
        <f>WEEKDAY(Table1[[#This Row],[Date]])</f>
        <v>5</v>
      </c>
      <c r="J313" s="3">
        <f>(Table1[[#This Row],[Credit]]-Table1[[#This Row],[Debit]])</f>
        <v>-58</v>
      </c>
    </row>
    <row r="314" spans="1:10" x14ac:dyDescent="0.25">
      <c r="A314" s="7">
        <v>44512</v>
      </c>
      <c r="B314" s="3" t="s">
        <v>33</v>
      </c>
      <c r="C314" s="3">
        <v>34.200000000000003</v>
      </c>
      <c r="D314" s="3"/>
      <c r="E314" s="3" t="s">
        <v>34</v>
      </c>
      <c r="F314" s="3" t="s">
        <v>20</v>
      </c>
      <c r="G314" s="3" t="s">
        <v>14</v>
      </c>
      <c r="H314" s="3">
        <f>MONTH(Table1[[#This Row],[Date]])</f>
        <v>11</v>
      </c>
      <c r="I314" s="8">
        <f>WEEKDAY(Table1[[#This Row],[Date]])</f>
        <v>6</v>
      </c>
      <c r="J314" s="3">
        <f>(Table1[[#This Row],[Credit]]-Table1[[#This Row],[Debit]])</f>
        <v>-34.200000000000003</v>
      </c>
    </row>
    <row r="315" spans="1:10" x14ac:dyDescent="0.25">
      <c r="A315" s="7">
        <v>44513</v>
      </c>
      <c r="B315" s="3" t="s">
        <v>35</v>
      </c>
      <c r="C315" s="3"/>
      <c r="D315" s="3">
        <v>200</v>
      </c>
      <c r="E315" s="3" t="s">
        <v>36</v>
      </c>
      <c r="F315" s="3" t="s">
        <v>37</v>
      </c>
      <c r="G315" s="3" t="s">
        <v>10</v>
      </c>
      <c r="H315" s="3">
        <f>MONTH(Table1[[#This Row],[Date]])</f>
        <v>11</v>
      </c>
      <c r="I315" s="8">
        <f>WEEKDAY(Table1[[#This Row],[Date]])</f>
        <v>7</v>
      </c>
      <c r="J315" s="3">
        <f>(Table1[[#This Row],[Credit]]-Table1[[#This Row],[Debit]])</f>
        <v>200</v>
      </c>
    </row>
    <row r="316" spans="1:10" x14ac:dyDescent="0.25">
      <c r="A316" s="7">
        <v>44514</v>
      </c>
      <c r="B316" s="3" t="s">
        <v>11</v>
      </c>
      <c r="C316" s="3">
        <v>5</v>
      </c>
      <c r="D316" s="3"/>
      <c r="E316" s="3" t="s">
        <v>12</v>
      </c>
      <c r="F316" s="3" t="s">
        <v>13</v>
      </c>
      <c r="G316" s="3" t="s">
        <v>14</v>
      </c>
      <c r="H316" s="3">
        <f>MONTH(Table1[[#This Row],[Date]])</f>
        <v>11</v>
      </c>
      <c r="I316" s="8">
        <f>WEEKDAY(Table1[[#This Row],[Date]])</f>
        <v>1</v>
      </c>
      <c r="J316" s="3">
        <f>(Table1[[#This Row],[Credit]]-Table1[[#This Row],[Debit]])</f>
        <v>-5</v>
      </c>
    </row>
    <row r="317" spans="1:10" x14ac:dyDescent="0.25">
      <c r="A317" s="7">
        <v>44515</v>
      </c>
      <c r="B317" s="3" t="s">
        <v>11</v>
      </c>
      <c r="C317" s="3">
        <v>5</v>
      </c>
      <c r="D317" s="3"/>
      <c r="E317" s="3" t="s">
        <v>12</v>
      </c>
      <c r="F317" s="3" t="s">
        <v>13</v>
      </c>
      <c r="G317" s="3" t="s">
        <v>14</v>
      </c>
      <c r="H317" s="3">
        <f>MONTH(Table1[[#This Row],[Date]])</f>
        <v>11</v>
      </c>
      <c r="I317" s="8">
        <f>WEEKDAY(Table1[[#This Row],[Date]])</f>
        <v>2</v>
      </c>
      <c r="J317" s="3">
        <f>(Table1[[#This Row],[Credit]]-Table1[[#This Row],[Debit]])</f>
        <v>-5</v>
      </c>
    </row>
    <row r="318" spans="1:10" x14ac:dyDescent="0.25">
      <c r="A318" s="7">
        <v>44516</v>
      </c>
      <c r="B318" s="3" t="s">
        <v>39</v>
      </c>
      <c r="C318" s="3">
        <v>40</v>
      </c>
      <c r="D318" s="3"/>
      <c r="E318" s="3" t="s">
        <v>39</v>
      </c>
      <c r="F318" s="3" t="s">
        <v>17</v>
      </c>
      <c r="G318" s="3" t="s">
        <v>14</v>
      </c>
      <c r="H318" s="3">
        <f>MONTH(Table1[[#This Row],[Date]])</f>
        <v>11</v>
      </c>
      <c r="I318" s="8">
        <f>WEEKDAY(Table1[[#This Row],[Date]])</f>
        <v>3</v>
      </c>
      <c r="J318" s="3">
        <f>(Table1[[#This Row],[Credit]]-Table1[[#This Row],[Debit]])</f>
        <v>-40</v>
      </c>
    </row>
    <row r="319" spans="1:10" x14ac:dyDescent="0.25">
      <c r="A319" s="7">
        <v>44517</v>
      </c>
      <c r="B319" s="3" t="s">
        <v>40</v>
      </c>
      <c r="C319" s="3">
        <v>51.1</v>
      </c>
      <c r="D319" s="3"/>
      <c r="E319" s="3" t="s">
        <v>41</v>
      </c>
      <c r="F319" s="3" t="s">
        <v>28</v>
      </c>
      <c r="G319" s="3" t="s">
        <v>14</v>
      </c>
      <c r="H319" s="3">
        <f>MONTH(Table1[[#This Row],[Date]])</f>
        <v>11</v>
      </c>
      <c r="I319" s="8">
        <f>WEEKDAY(Table1[[#This Row],[Date]])</f>
        <v>4</v>
      </c>
      <c r="J319" s="3">
        <f>(Table1[[#This Row],[Credit]]-Table1[[#This Row],[Debit]])</f>
        <v>-51.1</v>
      </c>
    </row>
    <row r="320" spans="1:10" x14ac:dyDescent="0.25">
      <c r="A320" s="7">
        <v>44518</v>
      </c>
      <c r="B320" s="3" t="s">
        <v>42</v>
      </c>
      <c r="C320" s="3">
        <v>35</v>
      </c>
      <c r="D320" s="3"/>
      <c r="E320" s="3" t="s">
        <v>27</v>
      </c>
      <c r="F320" s="3" t="s">
        <v>28</v>
      </c>
      <c r="G320" s="3" t="s">
        <v>14</v>
      </c>
      <c r="H320" s="3">
        <f>MONTH(Table1[[#This Row],[Date]])</f>
        <v>11</v>
      </c>
      <c r="I320" s="8">
        <f>WEEKDAY(Table1[[#This Row],[Date]])</f>
        <v>5</v>
      </c>
      <c r="J320" s="3">
        <f>(Table1[[#This Row],[Credit]]-Table1[[#This Row],[Debit]])</f>
        <v>-35</v>
      </c>
    </row>
    <row r="321" spans="1:10" x14ac:dyDescent="0.25">
      <c r="A321" s="7">
        <v>44519</v>
      </c>
      <c r="B321" s="3" t="s">
        <v>11</v>
      </c>
      <c r="C321" s="3">
        <v>5</v>
      </c>
      <c r="D321" s="3"/>
      <c r="E321" s="3" t="s">
        <v>12</v>
      </c>
      <c r="F321" s="3" t="s">
        <v>13</v>
      </c>
      <c r="G321" s="3" t="s">
        <v>14</v>
      </c>
      <c r="H321" s="3">
        <f>MONTH(Table1[[#This Row],[Date]])</f>
        <v>11</v>
      </c>
      <c r="I321" s="8">
        <f>WEEKDAY(Table1[[#This Row],[Date]])</f>
        <v>6</v>
      </c>
      <c r="J321" s="3">
        <f>(Table1[[#This Row],[Credit]]-Table1[[#This Row],[Debit]])</f>
        <v>-5</v>
      </c>
    </row>
    <row r="322" spans="1:10" x14ac:dyDescent="0.25">
      <c r="A322" s="7">
        <v>44520</v>
      </c>
      <c r="B322" s="3" t="s">
        <v>11</v>
      </c>
      <c r="C322" s="3">
        <v>5</v>
      </c>
      <c r="D322" s="3"/>
      <c r="E322" s="3" t="s">
        <v>12</v>
      </c>
      <c r="F322" s="3" t="s">
        <v>13</v>
      </c>
      <c r="G322" s="3" t="s">
        <v>14</v>
      </c>
      <c r="H322" s="3">
        <f>MONTH(Table1[[#This Row],[Date]])</f>
        <v>11</v>
      </c>
      <c r="I322" s="8">
        <f>WEEKDAY(Table1[[#This Row],[Date]])</f>
        <v>7</v>
      </c>
      <c r="J322" s="3">
        <f>(Table1[[#This Row],[Credit]]-Table1[[#This Row],[Debit]])</f>
        <v>-5</v>
      </c>
    </row>
    <row r="323" spans="1:10" x14ac:dyDescent="0.25">
      <c r="A323" s="7">
        <v>44521</v>
      </c>
      <c r="B323" s="3" t="s">
        <v>11</v>
      </c>
      <c r="C323" s="3">
        <v>5</v>
      </c>
      <c r="D323" s="3"/>
      <c r="E323" s="3" t="s">
        <v>12</v>
      </c>
      <c r="F323" s="3" t="s">
        <v>13</v>
      </c>
      <c r="G323" s="3" t="s">
        <v>14</v>
      </c>
      <c r="H323" s="3">
        <f>MONTH(Table1[[#This Row],[Date]])</f>
        <v>11</v>
      </c>
      <c r="I323" s="8">
        <f>WEEKDAY(Table1[[#This Row],[Date]])</f>
        <v>1</v>
      </c>
      <c r="J323" s="3">
        <f>(Table1[[#This Row],[Credit]]-Table1[[#This Row],[Debit]])</f>
        <v>-5</v>
      </c>
    </row>
    <row r="324" spans="1:10" x14ac:dyDescent="0.25">
      <c r="A324" s="7">
        <v>44522</v>
      </c>
      <c r="B324" s="3" t="s">
        <v>21</v>
      </c>
      <c r="C324" s="3">
        <v>176</v>
      </c>
      <c r="D324" s="3"/>
      <c r="E324" s="3" t="s">
        <v>22</v>
      </c>
      <c r="F324" s="3" t="s">
        <v>17</v>
      </c>
      <c r="G324" s="3" t="s">
        <v>14</v>
      </c>
      <c r="H324" s="3">
        <f>MONTH(Table1[[#This Row],[Date]])</f>
        <v>11</v>
      </c>
      <c r="I324" s="8">
        <f>WEEKDAY(Table1[[#This Row],[Date]])</f>
        <v>2</v>
      </c>
      <c r="J324" s="3">
        <f>(Table1[[#This Row],[Credit]]-Table1[[#This Row],[Debit]])</f>
        <v>-176</v>
      </c>
    </row>
    <row r="325" spans="1:10" x14ac:dyDescent="0.25">
      <c r="A325" s="7">
        <v>44523</v>
      </c>
      <c r="B325" s="3" t="s">
        <v>43</v>
      </c>
      <c r="C325" s="3">
        <v>43.1</v>
      </c>
      <c r="D325" s="3"/>
      <c r="E325" s="3" t="s">
        <v>32</v>
      </c>
      <c r="F325" s="3" t="s">
        <v>13</v>
      </c>
      <c r="G325" s="3" t="s">
        <v>14</v>
      </c>
      <c r="H325" s="3">
        <f>MONTH(Table1[[#This Row],[Date]])</f>
        <v>11</v>
      </c>
      <c r="I325" s="8">
        <f>WEEKDAY(Table1[[#This Row],[Date]])</f>
        <v>3</v>
      </c>
      <c r="J325" s="3">
        <f>(Table1[[#This Row],[Credit]]-Table1[[#This Row],[Debit]])</f>
        <v>-43.1</v>
      </c>
    </row>
    <row r="326" spans="1:10" x14ac:dyDescent="0.25">
      <c r="A326" s="7">
        <v>44524</v>
      </c>
      <c r="B326" s="3" t="s">
        <v>44</v>
      </c>
      <c r="C326" s="3">
        <v>18.2</v>
      </c>
      <c r="D326" s="3"/>
      <c r="E326" s="3" t="s">
        <v>32</v>
      </c>
      <c r="F326" s="3" t="s">
        <v>13</v>
      </c>
      <c r="G326" s="3" t="s">
        <v>14</v>
      </c>
      <c r="H326" s="3">
        <f>MONTH(Table1[[#This Row],[Date]])</f>
        <v>11</v>
      </c>
      <c r="I326" s="8">
        <f>WEEKDAY(Table1[[#This Row],[Date]])</f>
        <v>4</v>
      </c>
      <c r="J326" s="3">
        <f>(Table1[[#This Row],[Credit]]-Table1[[#This Row],[Debit]])</f>
        <v>-18.2</v>
      </c>
    </row>
    <row r="327" spans="1:10" x14ac:dyDescent="0.25">
      <c r="A327" s="7">
        <v>44525</v>
      </c>
      <c r="B327" s="3" t="s">
        <v>45</v>
      </c>
      <c r="C327" s="3">
        <v>55</v>
      </c>
      <c r="D327" s="3"/>
      <c r="E327" s="3" t="s">
        <v>46</v>
      </c>
      <c r="F327" s="3" t="s">
        <v>47</v>
      </c>
      <c r="G327" s="3" t="s">
        <v>14</v>
      </c>
      <c r="H327" s="3">
        <f>MONTH(Table1[[#This Row],[Date]])</f>
        <v>11</v>
      </c>
      <c r="I327" s="8">
        <f>WEEKDAY(Table1[[#This Row],[Date]])</f>
        <v>5</v>
      </c>
      <c r="J327" s="3">
        <f>(Table1[[#This Row],[Credit]]-Table1[[#This Row],[Debit]])</f>
        <v>-55</v>
      </c>
    </row>
    <row r="328" spans="1:10" x14ac:dyDescent="0.25">
      <c r="A328" s="7">
        <v>44526</v>
      </c>
      <c r="B328" s="3" t="s">
        <v>25</v>
      </c>
      <c r="C328" s="3">
        <v>68.800000000000011</v>
      </c>
      <c r="D328" s="3"/>
      <c r="E328" s="3" t="s">
        <v>48</v>
      </c>
      <c r="F328" s="3" t="s">
        <v>20</v>
      </c>
      <c r="G328" s="3" t="s">
        <v>14</v>
      </c>
      <c r="H328" s="3">
        <f>MONTH(Table1[[#This Row],[Date]])</f>
        <v>11</v>
      </c>
      <c r="I328" s="8">
        <f>WEEKDAY(Table1[[#This Row],[Date]])</f>
        <v>6</v>
      </c>
      <c r="J328" s="3">
        <f>(Table1[[#This Row],[Credit]]-Table1[[#This Row],[Debit]])</f>
        <v>-68.800000000000011</v>
      </c>
    </row>
    <row r="329" spans="1:10" x14ac:dyDescent="0.25">
      <c r="A329" s="7">
        <v>44527</v>
      </c>
      <c r="B329" s="3" t="s">
        <v>11</v>
      </c>
      <c r="C329" s="3">
        <v>5</v>
      </c>
      <c r="D329" s="3"/>
      <c r="E329" s="3" t="s">
        <v>12</v>
      </c>
      <c r="F329" s="3" t="s">
        <v>13</v>
      </c>
      <c r="G329" s="3" t="s">
        <v>14</v>
      </c>
      <c r="H329" s="3">
        <f>MONTH(Table1[[#This Row],[Date]])</f>
        <v>11</v>
      </c>
      <c r="I329" s="8">
        <f>WEEKDAY(Table1[[#This Row],[Date]])</f>
        <v>7</v>
      </c>
      <c r="J329" s="3">
        <f>(Table1[[#This Row],[Credit]]-Table1[[#This Row],[Debit]])</f>
        <v>-5</v>
      </c>
    </row>
    <row r="330" spans="1:10" x14ac:dyDescent="0.25">
      <c r="A330" s="7">
        <v>44528</v>
      </c>
      <c r="B330" s="3" t="s">
        <v>11</v>
      </c>
      <c r="C330" s="3">
        <v>5</v>
      </c>
      <c r="D330" s="3"/>
      <c r="E330" s="3" t="s">
        <v>12</v>
      </c>
      <c r="F330" s="3" t="s">
        <v>13</v>
      </c>
      <c r="G330" s="3" t="s">
        <v>14</v>
      </c>
      <c r="H330" s="3">
        <f>MONTH(Table1[[#This Row],[Date]])</f>
        <v>11</v>
      </c>
      <c r="I330" s="8">
        <f>WEEKDAY(Table1[[#This Row],[Date]])</f>
        <v>1</v>
      </c>
      <c r="J330" s="3">
        <f>(Table1[[#This Row],[Credit]]-Table1[[#This Row],[Debit]])</f>
        <v>-5</v>
      </c>
    </row>
    <row r="331" spans="1:10" x14ac:dyDescent="0.25">
      <c r="A331" s="7">
        <v>44529</v>
      </c>
      <c r="B331" s="3" t="s">
        <v>11</v>
      </c>
      <c r="C331" s="3">
        <v>5</v>
      </c>
      <c r="D331" s="3"/>
      <c r="E331" s="3" t="s">
        <v>12</v>
      </c>
      <c r="F331" s="3" t="s">
        <v>13</v>
      </c>
      <c r="G331" s="3" t="s">
        <v>14</v>
      </c>
      <c r="H331" s="3">
        <f>MONTH(Table1[[#This Row],[Date]])</f>
        <v>11</v>
      </c>
      <c r="I331" s="8">
        <f>WEEKDAY(Table1[[#This Row],[Date]])</f>
        <v>2</v>
      </c>
      <c r="J331" s="3">
        <f>(Table1[[#This Row],[Credit]]-Table1[[#This Row],[Debit]])</f>
        <v>-5</v>
      </c>
    </row>
    <row r="332" spans="1:10" x14ac:dyDescent="0.25">
      <c r="A332" s="7">
        <v>44530</v>
      </c>
      <c r="B332" s="3" t="s">
        <v>11</v>
      </c>
      <c r="C332" s="3">
        <v>5</v>
      </c>
      <c r="D332" s="3"/>
      <c r="E332" s="3" t="s">
        <v>12</v>
      </c>
      <c r="F332" s="3" t="s">
        <v>13</v>
      </c>
      <c r="G332" s="3" t="s">
        <v>14</v>
      </c>
      <c r="H332" s="3">
        <f>MONTH(Table1[[#This Row],[Date]])</f>
        <v>11</v>
      </c>
      <c r="I332" s="8">
        <f>WEEKDAY(Table1[[#This Row],[Date]])</f>
        <v>3</v>
      </c>
      <c r="J332" s="3">
        <f>(Table1[[#This Row],[Credit]]-Table1[[#This Row],[Debit]])</f>
        <v>-5</v>
      </c>
    </row>
    <row r="333" spans="1:10" x14ac:dyDescent="0.25">
      <c r="A333" s="7">
        <v>44531</v>
      </c>
      <c r="B333" s="3" t="s">
        <v>11</v>
      </c>
      <c r="C333" s="3">
        <v>5</v>
      </c>
      <c r="D333" s="3"/>
      <c r="E333" s="3" t="s">
        <v>12</v>
      </c>
      <c r="F333" s="3" t="s">
        <v>13</v>
      </c>
      <c r="G333" s="3" t="s">
        <v>14</v>
      </c>
      <c r="H333" s="3">
        <f>MONTH(Table1[[#This Row],[Date]])</f>
        <v>12</v>
      </c>
      <c r="I333" s="8">
        <f>WEEKDAY(Table1[[#This Row],[Date]])</f>
        <v>4</v>
      </c>
      <c r="J333" s="3">
        <f>(Table1[[#This Row],[Credit]]-Table1[[#This Row],[Debit]])</f>
        <v>-5</v>
      </c>
    </row>
    <row r="334" spans="1:10" x14ac:dyDescent="0.25">
      <c r="A334" s="7">
        <v>44532</v>
      </c>
      <c r="B334" s="3" t="s">
        <v>21</v>
      </c>
      <c r="C334" s="3">
        <v>193</v>
      </c>
      <c r="D334" s="3"/>
      <c r="E334" s="3" t="s">
        <v>22</v>
      </c>
      <c r="F334" s="3" t="s">
        <v>17</v>
      </c>
      <c r="G334" s="3" t="s">
        <v>14</v>
      </c>
      <c r="H334" s="3">
        <f>MONTH(Table1[[#This Row],[Date]])</f>
        <v>12</v>
      </c>
      <c r="I334" s="8">
        <f>WEEKDAY(Table1[[#This Row],[Date]])</f>
        <v>5</v>
      </c>
      <c r="J334" s="3">
        <f>(Table1[[#This Row],[Credit]]-Table1[[#This Row],[Debit]])</f>
        <v>-193</v>
      </c>
    </row>
    <row r="335" spans="1:10" x14ac:dyDescent="0.25">
      <c r="A335" s="7">
        <v>44533</v>
      </c>
      <c r="B335" s="3" t="s">
        <v>49</v>
      </c>
      <c r="C335" s="3">
        <v>130.80000000000001</v>
      </c>
      <c r="D335" s="3"/>
      <c r="E335" s="3" t="s">
        <v>30</v>
      </c>
      <c r="F335" s="3" t="s">
        <v>28</v>
      </c>
      <c r="G335" s="3" t="s">
        <v>14</v>
      </c>
      <c r="H335" s="3">
        <f>MONTH(Table1[[#This Row],[Date]])</f>
        <v>12</v>
      </c>
      <c r="I335" s="8">
        <f>WEEKDAY(Table1[[#This Row],[Date]])</f>
        <v>6</v>
      </c>
      <c r="J335" s="3">
        <f>(Table1[[#This Row],[Credit]]-Table1[[#This Row],[Debit]])</f>
        <v>-130.80000000000001</v>
      </c>
    </row>
    <row r="336" spans="1:10" x14ac:dyDescent="0.25">
      <c r="A336" s="7">
        <v>44534</v>
      </c>
      <c r="B336" s="3" t="s">
        <v>58</v>
      </c>
      <c r="C336" s="3">
        <v>181.39999999999998</v>
      </c>
      <c r="D336" s="3"/>
      <c r="E336" s="3" t="s">
        <v>59</v>
      </c>
      <c r="F336" s="3" t="s">
        <v>28</v>
      </c>
      <c r="G336" s="3" t="s">
        <v>14</v>
      </c>
      <c r="H336" s="3">
        <f>MONTH(Table1[[#This Row],[Date]])</f>
        <v>12</v>
      </c>
      <c r="I336" s="8">
        <f>WEEKDAY(Table1[[#This Row],[Date]])</f>
        <v>7</v>
      </c>
      <c r="J336" s="3">
        <f>(Table1[[#This Row],[Credit]]-Table1[[#This Row],[Debit]])</f>
        <v>-181.39999999999998</v>
      </c>
    </row>
    <row r="337" spans="1:10" x14ac:dyDescent="0.25">
      <c r="A337" s="7">
        <v>44535</v>
      </c>
      <c r="B337" s="3" t="s">
        <v>29</v>
      </c>
      <c r="C337" s="3">
        <v>151.19999999999999</v>
      </c>
      <c r="D337" s="3"/>
      <c r="E337" s="3" t="s">
        <v>30</v>
      </c>
      <c r="F337" s="3" t="s">
        <v>28</v>
      </c>
      <c r="G337" s="3" t="s">
        <v>14</v>
      </c>
      <c r="H337" s="3">
        <f>MONTH(Table1[[#This Row],[Date]])</f>
        <v>12</v>
      </c>
      <c r="I337" s="8">
        <f>WEEKDAY(Table1[[#This Row],[Date]])</f>
        <v>1</v>
      </c>
      <c r="J337" s="3">
        <f>(Table1[[#This Row],[Credit]]-Table1[[#This Row],[Debit]])</f>
        <v>-151.19999999999999</v>
      </c>
    </row>
    <row r="338" spans="1:10" x14ac:dyDescent="0.25">
      <c r="A338" s="7">
        <v>44536</v>
      </c>
      <c r="B338" s="3" t="s">
        <v>33</v>
      </c>
      <c r="C338" s="3">
        <v>29.300000000000004</v>
      </c>
      <c r="D338" s="3"/>
      <c r="E338" s="3" t="s">
        <v>34</v>
      </c>
      <c r="F338" s="3" t="s">
        <v>20</v>
      </c>
      <c r="G338" s="3" t="s">
        <v>14</v>
      </c>
      <c r="H338" s="3">
        <f>MONTH(Table1[[#This Row],[Date]])</f>
        <v>12</v>
      </c>
      <c r="I338" s="8">
        <f>WEEKDAY(Table1[[#This Row],[Date]])</f>
        <v>2</v>
      </c>
      <c r="J338" s="3">
        <f>(Table1[[#This Row],[Credit]]-Table1[[#This Row],[Debit]])</f>
        <v>-29.300000000000004</v>
      </c>
    </row>
    <row r="339" spans="1:10" x14ac:dyDescent="0.25">
      <c r="A339" s="7">
        <v>44537</v>
      </c>
      <c r="B339" s="3" t="s">
        <v>56</v>
      </c>
      <c r="C339" s="3">
        <v>15</v>
      </c>
      <c r="D339" s="3"/>
      <c r="E339" s="3" t="s">
        <v>32</v>
      </c>
      <c r="F339" s="3" t="s">
        <v>13</v>
      </c>
      <c r="G339" s="3" t="s">
        <v>14</v>
      </c>
      <c r="H339" s="3">
        <f>MONTH(Table1[[#This Row],[Date]])</f>
        <v>12</v>
      </c>
      <c r="I339" s="8">
        <f>WEEKDAY(Table1[[#This Row],[Date]])</f>
        <v>3</v>
      </c>
      <c r="J339" s="3">
        <f>(Table1[[#This Row],[Credit]]-Table1[[#This Row],[Debit]])</f>
        <v>-15</v>
      </c>
    </row>
    <row r="340" spans="1:10" x14ac:dyDescent="0.25">
      <c r="A340" s="7">
        <v>44538</v>
      </c>
      <c r="B340" s="3" t="s">
        <v>11</v>
      </c>
      <c r="C340" s="3">
        <v>5</v>
      </c>
      <c r="D340" s="3"/>
      <c r="E340" s="3" t="s">
        <v>12</v>
      </c>
      <c r="F340" s="3" t="s">
        <v>13</v>
      </c>
      <c r="G340" s="3" t="s">
        <v>14</v>
      </c>
      <c r="H340" s="3">
        <f>MONTH(Table1[[#This Row],[Date]])</f>
        <v>12</v>
      </c>
      <c r="I340" s="8">
        <f>WEEKDAY(Table1[[#This Row],[Date]])</f>
        <v>4</v>
      </c>
      <c r="J340" s="3">
        <f>(Table1[[#This Row],[Credit]]-Table1[[#This Row],[Debit]])</f>
        <v>-5</v>
      </c>
    </row>
    <row r="341" spans="1:10" x14ac:dyDescent="0.25">
      <c r="A341" s="7">
        <v>44539</v>
      </c>
      <c r="B341" s="3" t="s">
        <v>11</v>
      </c>
      <c r="C341" s="3">
        <v>5</v>
      </c>
      <c r="D341" s="3"/>
      <c r="E341" s="3" t="s">
        <v>12</v>
      </c>
      <c r="F341" s="3" t="s">
        <v>13</v>
      </c>
      <c r="G341" s="3" t="s">
        <v>14</v>
      </c>
      <c r="H341" s="3">
        <f>MONTH(Table1[[#This Row],[Date]])</f>
        <v>12</v>
      </c>
      <c r="I341" s="8">
        <f>WEEKDAY(Table1[[#This Row],[Date]])</f>
        <v>5</v>
      </c>
      <c r="J341" s="3">
        <f>(Table1[[#This Row],[Credit]]-Table1[[#This Row],[Debit]])</f>
        <v>-5</v>
      </c>
    </row>
    <row r="342" spans="1:10" x14ac:dyDescent="0.25">
      <c r="A342" s="7">
        <v>44540</v>
      </c>
      <c r="B342" s="3" t="s">
        <v>7</v>
      </c>
      <c r="C342" s="3"/>
      <c r="D342" s="3">
        <v>5000</v>
      </c>
      <c r="E342" s="3" t="s">
        <v>8</v>
      </c>
      <c r="F342" s="3" t="s">
        <v>9</v>
      </c>
      <c r="G342" s="3" t="s">
        <v>10</v>
      </c>
      <c r="H342" s="3">
        <f>MONTH(Table1[[#This Row],[Date]])</f>
        <v>12</v>
      </c>
      <c r="I342" s="8">
        <f>WEEKDAY(Table1[[#This Row],[Date]])</f>
        <v>6</v>
      </c>
      <c r="J342" s="3">
        <f>(Table1[[#This Row],[Credit]]-Table1[[#This Row],[Debit]])</f>
        <v>5000</v>
      </c>
    </row>
    <row r="343" spans="1:10" x14ac:dyDescent="0.25">
      <c r="A343" s="7">
        <v>44541</v>
      </c>
      <c r="B343" s="3" t="s">
        <v>11</v>
      </c>
      <c r="C343" s="3">
        <v>5</v>
      </c>
      <c r="D343" s="3"/>
      <c r="E343" s="3" t="s">
        <v>12</v>
      </c>
      <c r="F343" s="3" t="s">
        <v>13</v>
      </c>
      <c r="G343" s="3" t="s">
        <v>14</v>
      </c>
      <c r="H343" s="3">
        <f>MONTH(Table1[[#This Row],[Date]])</f>
        <v>12</v>
      </c>
      <c r="I343" s="8">
        <f>WEEKDAY(Table1[[#This Row],[Date]])</f>
        <v>7</v>
      </c>
      <c r="J343" s="3">
        <f>(Table1[[#This Row],[Credit]]-Table1[[#This Row],[Debit]])</f>
        <v>-5</v>
      </c>
    </row>
    <row r="344" spans="1:10" x14ac:dyDescent="0.25">
      <c r="A344" s="7">
        <v>44542</v>
      </c>
      <c r="B344" s="3" t="s">
        <v>15</v>
      </c>
      <c r="C344" s="3">
        <v>900</v>
      </c>
      <c r="D344" s="3"/>
      <c r="E344" s="3" t="s">
        <v>16</v>
      </c>
      <c r="F344" s="3" t="s">
        <v>17</v>
      </c>
      <c r="G344" s="3" t="s">
        <v>14</v>
      </c>
      <c r="H344" s="3">
        <f>MONTH(Table1[[#This Row],[Date]])</f>
        <v>12</v>
      </c>
      <c r="I344" s="8">
        <f>WEEKDAY(Table1[[#This Row],[Date]])</f>
        <v>1</v>
      </c>
      <c r="J344" s="3">
        <f>(Table1[[#This Row],[Credit]]-Table1[[#This Row],[Debit]])</f>
        <v>-900</v>
      </c>
    </row>
    <row r="345" spans="1:10" x14ac:dyDescent="0.25">
      <c r="A345" s="7">
        <v>44543</v>
      </c>
      <c r="B345" s="3" t="s">
        <v>18</v>
      </c>
      <c r="C345" s="3">
        <v>150</v>
      </c>
      <c r="D345" s="3"/>
      <c r="E345" s="3" t="s">
        <v>19</v>
      </c>
      <c r="F345" s="3" t="s">
        <v>20</v>
      </c>
      <c r="G345" s="3" t="s">
        <v>14</v>
      </c>
      <c r="H345" s="3">
        <f>MONTH(Table1[[#This Row],[Date]])</f>
        <v>12</v>
      </c>
      <c r="I345" s="8">
        <f>WEEKDAY(Table1[[#This Row],[Date]])</f>
        <v>2</v>
      </c>
      <c r="J345" s="3">
        <f>(Table1[[#This Row],[Credit]]-Table1[[#This Row],[Debit]])</f>
        <v>-150</v>
      </c>
    </row>
    <row r="346" spans="1:10" x14ac:dyDescent="0.25">
      <c r="A346" s="7">
        <v>44544</v>
      </c>
      <c r="B346" s="3" t="s">
        <v>11</v>
      </c>
      <c r="C346" s="3">
        <v>5</v>
      </c>
      <c r="D346" s="3"/>
      <c r="E346" s="3" t="s">
        <v>12</v>
      </c>
      <c r="F346" s="3" t="s">
        <v>13</v>
      </c>
      <c r="G346" s="3" t="s">
        <v>14</v>
      </c>
      <c r="H346" s="3">
        <f>MONTH(Table1[[#This Row],[Date]])</f>
        <v>12</v>
      </c>
      <c r="I346" s="8">
        <f>WEEKDAY(Table1[[#This Row],[Date]])</f>
        <v>3</v>
      </c>
      <c r="J346" s="3">
        <f>(Table1[[#This Row],[Credit]]-Table1[[#This Row],[Debit]])</f>
        <v>-5</v>
      </c>
    </row>
    <row r="347" spans="1:10" x14ac:dyDescent="0.25">
      <c r="A347" s="7">
        <v>44545</v>
      </c>
      <c r="B347" s="3" t="s">
        <v>11</v>
      </c>
      <c r="C347" s="3">
        <v>5</v>
      </c>
      <c r="D347" s="3"/>
      <c r="E347" s="3" t="s">
        <v>12</v>
      </c>
      <c r="F347" s="3" t="s">
        <v>13</v>
      </c>
      <c r="G347" s="3" t="s">
        <v>14</v>
      </c>
      <c r="H347" s="3">
        <f>MONTH(Table1[[#This Row],[Date]])</f>
        <v>12</v>
      </c>
      <c r="I347" s="8">
        <f>WEEKDAY(Table1[[#This Row],[Date]])</f>
        <v>4</v>
      </c>
      <c r="J347" s="3">
        <f>(Table1[[#This Row],[Credit]]-Table1[[#This Row],[Debit]])</f>
        <v>-5</v>
      </c>
    </row>
    <row r="348" spans="1:10" x14ac:dyDescent="0.25">
      <c r="A348" s="7">
        <v>44546</v>
      </c>
      <c r="B348" s="3" t="s">
        <v>11</v>
      </c>
      <c r="C348" s="3">
        <v>5</v>
      </c>
      <c r="D348" s="3"/>
      <c r="E348" s="3" t="s">
        <v>12</v>
      </c>
      <c r="F348" s="3" t="s">
        <v>13</v>
      </c>
      <c r="G348" s="3" t="s">
        <v>14</v>
      </c>
      <c r="H348" s="3">
        <f>MONTH(Table1[[#This Row],[Date]])</f>
        <v>12</v>
      </c>
      <c r="I348" s="8">
        <f>WEEKDAY(Table1[[#This Row],[Date]])</f>
        <v>5</v>
      </c>
      <c r="J348" s="3">
        <f>(Table1[[#This Row],[Credit]]-Table1[[#This Row],[Debit]])</f>
        <v>-5</v>
      </c>
    </row>
    <row r="349" spans="1:10" x14ac:dyDescent="0.25">
      <c r="A349" s="7">
        <v>44547</v>
      </c>
      <c r="B349" s="3" t="s">
        <v>11</v>
      </c>
      <c r="C349" s="3">
        <v>5</v>
      </c>
      <c r="D349" s="3"/>
      <c r="E349" s="3" t="s">
        <v>12</v>
      </c>
      <c r="F349" s="3" t="s">
        <v>13</v>
      </c>
      <c r="G349" s="3" t="s">
        <v>14</v>
      </c>
      <c r="H349" s="3">
        <f>MONTH(Table1[[#This Row],[Date]])</f>
        <v>12</v>
      </c>
      <c r="I349" s="8">
        <f>WEEKDAY(Table1[[#This Row],[Date]])</f>
        <v>6</v>
      </c>
      <c r="J349" s="3">
        <f>(Table1[[#This Row],[Credit]]-Table1[[#This Row],[Debit]])</f>
        <v>-5</v>
      </c>
    </row>
    <row r="350" spans="1:10" x14ac:dyDescent="0.25">
      <c r="A350" s="7">
        <v>44548</v>
      </c>
      <c r="B350" s="3" t="s">
        <v>21</v>
      </c>
      <c r="C350" s="3">
        <v>137</v>
      </c>
      <c r="D350" s="3"/>
      <c r="E350" s="3" t="s">
        <v>22</v>
      </c>
      <c r="F350" s="3" t="s">
        <v>17</v>
      </c>
      <c r="G350" s="3" t="s">
        <v>14</v>
      </c>
      <c r="H350" s="3">
        <f>MONTH(Table1[[#This Row],[Date]])</f>
        <v>12</v>
      </c>
      <c r="I350" s="8">
        <f>WEEKDAY(Table1[[#This Row],[Date]])</f>
        <v>7</v>
      </c>
      <c r="J350" s="3">
        <f>(Table1[[#This Row],[Credit]]-Table1[[#This Row],[Debit]])</f>
        <v>-137</v>
      </c>
    </row>
    <row r="351" spans="1:10" x14ac:dyDescent="0.25">
      <c r="A351" s="7">
        <v>44549</v>
      </c>
      <c r="B351" s="3" t="s">
        <v>23</v>
      </c>
      <c r="C351" s="3">
        <v>57</v>
      </c>
      <c r="D351" s="3"/>
      <c r="E351" s="3" t="s">
        <v>24</v>
      </c>
      <c r="F351" s="3" t="s">
        <v>17</v>
      </c>
      <c r="G351" s="3" t="s">
        <v>14</v>
      </c>
      <c r="H351" s="3">
        <f>MONTH(Table1[[#This Row],[Date]])</f>
        <v>12</v>
      </c>
      <c r="I351" s="8">
        <f>WEEKDAY(Table1[[#This Row],[Date]])</f>
        <v>1</v>
      </c>
      <c r="J351" s="3">
        <f>(Table1[[#This Row],[Credit]]-Table1[[#This Row],[Debit]])</f>
        <v>-57</v>
      </c>
    </row>
    <row r="352" spans="1:10" x14ac:dyDescent="0.25">
      <c r="A352" s="7">
        <v>44550</v>
      </c>
      <c r="B352" s="3" t="s">
        <v>11</v>
      </c>
      <c r="C352" s="3">
        <v>5</v>
      </c>
      <c r="D352" s="3"/>
      <c r="E352" s="3" t="s">
        <v>12</v>
      </c>
      <c r="F352" s="3" t="s">
        <v>13</v>
      </c>
      <c r="G352" s="3" t="s">
        <v>14</v>
      </c>
      <c r="H352" s="3">
        <f>MONTH(Table1[[#This Row],[Date]])</f>
        <v>12</v>
      </c>
      <c r="I352" s="8">
        <f>WEEKDAY(Table1[[#This Row],[Date]])</f>
        <v>2</v>
      </c>
      <c r="J352" s="3">
        <f>(Table1[[#This Row],[Credit]]-Table1[[#This Row],[Debit]])</f>
        <v>-5</v>
      </c>
    </row>
    <row r="353" spans="1:10" x14ac:dyDescent="0.25">
      <c r="A353" s="7">
        <v>44551</v>
      </c>
      <c r="B353" s="3" t="s">
        <v>11</v>
      </c>
      <c r="C353" s="3">
        <v>5</v>
      </c>
      <c r="D353" s="3"/>
      <c r="E353" s="3" t="s">
        <v>12</v>
      </c>
      <c r="F353" s="3" t="s">
        <v>13</v>
      </c>
      <c r="G353" s="3" t="s">
        <v>14</v>
      </c>
      <c r="H353" s="3">
        <f>MONTH(Table1[[#This Row],[Date]])</f>
        <v>12</v>
      </c>
      <c r="I353" s="8">
        <f>WEEKDAY(Table1[[#This Row],[Date]])</f>
        <v>3</v>
      </c>
      <c r="J353" s="3">
        <f>(Table1[[#This Row],[Credit]]-Table1[[#This Row],[Debit]])</f>
        <v>-5</v>
      </c>
    </row>
    <row r="354" spans="1:10" x14ac:dyDescent="0.25">
      <c r="A354" s="7">
        <v>44552</v>
      </c>
      <c r="B354" s="3" t="s">
        <v>25</v>
      </c>
      <c r="C354" s="3">
        <v>84.199999999999989</v>
      </c>
      <c r="D354" s="3"/>
      <c r="E354" s="3" t="s">
        <v>48</v>
      </c>
      <c r="F354" s="3" t="s">
        <v>20</v>
      </c>
      <c r="G354" s="3" t="s">
        <v>14</v>
      </c>
      <c r="H354" s="3">
        <f>MONTH(Table1[[#This Row],[Date]])</f>
        <v>12</v>
      </c>
      <c r="I354" s="8">
        <f>WEEKDAY(Table1[[#This Row],[Date]])</f>
        <v>4</v>
      </c>
      <c r="J354" s="3">
        <f>(Table1[[#This Row],[Credit]]-Table1[[#This Row],[Debit]])</f>
        <v>-84.199999999999989</v>
      </c>
    </row>
    <row r="355" spans="1:10" x14ac:dyDescent="0.25">
      <c r="A355" s="7">
        <v>44553</v>
      </c>
      <c r="B355" s="3" t="s">
        <v>11</v>
      </c>
      <c r="C355" s="3">
        <v>5</v>
      </c>
      <c r="D355" s="3"/>
      <c r="E355" s="3" t="s">
        <v>12</v>
      </c>
      <c r="F355" s="3" t="s">
        <v>13</v>
      </c>
      <c r="G355" s="3" t="s">
        <v>14</v>
      </c>
      <c r="H355" s="3">
        <f>MONTH(Table1[[#This Row],[Date]])</f>
        <v>12</v>
      </c>
      <c r="I355" s="8">
        <f>WEEKDAY(Table1[[#This Row],[Date]])</f>
        <v>5</v>
      </c>
      <c r="J355" s="3">
        <f>(Table1[[#This Row],[Credit]]-Table1[[#This Row],[Debit]])</f>
        <v>-5</v>
      </c>
    </row>
    <row r="356" spans="1:10" x14ac:dyDescent="0.25">
      <c r="A356" s="7">
        <v>44554</v>
      </c>
      <c r="B356" s="3" t="s">
        <v>11</v>
      </c>
      <c r="C356" s="3">
        <v>5</v>
      </c>
      <c r="D356" s="3"/>
      <c r="E356" s="3" t="s">
        <v>12</v>
      </c>
      <c r="F356" s="3" t="s">
        <v>13</v>
      </c>
      <c r="G356" s="3" t="s">
        <v>14</v>
      </c>
      <c r="H356" s="3">
        <f>MONTH(Table1[[#This Row],[Date]])</f>
        <v>12</v>
      </c>
      <c r="I356" s="8">
        <f>WEEKDAY(Table1[[#This Row],[Date]])</f>
        <v>6</v>
      </c>
      <c r="J356" s="3">
        <f>(Table1[[#This Row],[Credit]]-Table1[[#This Row],[Debit]])</f>
        <v>-5</v>
      </c>
    </row>
    <row r="357" spans="1:10" x14ac:dyDescent="0.25">
      <c r="A357" s="7">
        <v>44555</v>
      </c>
      <c r="B357" s="3" t="s">
        <v>21</v>
      </c>
      <c r="C357" s="3">
        <v>142.1</v>
      </c>
      <c r="D357" s="3"/>
      <c r="E357" s="3" t="s">
        <v>22</v>
      </c>
      <c r="F357" s="3" t="s">
        <v>17</v>
      </c>
      <c r="G357" s="3" t="s">
        <v>14</v>
      </c>
      <c r="H357" s="3">
        <f>MONTH(Table1[[#This Row],[Date]])</f>
        <v>12</v>
      </c>
      <c r="I357" s="8">
        <f>WEEKDAY(Table1[[#This Row],[Date]])</f>
        <v>7</v>
      </c>
      <c r="J357" s="3">
        <f>(Table1[[#This Row],[Credit]]-Table1[[#This Row],[Debit]])</f>
        <v>-142.1</v>
      </c>
    </row>
    <row r="358" spans="1:10" x14ac:dyDescent="0.25">
      <c r="A358" s="7">
        <v>44556</v>
      </c>
      <c r="B358" s="3" t="s">
        <v>11</v>
      </c>
      <c r="C358" s="3">
        <v>5</v>
      </c>
      <c r="D358" s="3"/>
      <c r="E358" s="3" t="s">
        <v>12</v>
      </c>
      <c r="F358" s="3" t="s">
        <v>13</v>
      </c>
      <c r="G358" s="3" t="s">
        <v>14</v>
      </c>
      <c r="H358" s="3">
        <f>MONTH(Table1[[#This Row],[Date]])</f>
        <v>12</v>
      </c>
      <c r="I358" s="8">
        <f>WEEKDAY(Table1[[#This Row],[Date]])</f>
        <v>1</v>
      </c>
      <c r="J358" s="3">
        <f>(Table1[[#This Row],[Credit]]-Table1[[#This Row],[Debit]])</f>
        <v>-5</v>
      </c>
    </row>
    <row r="359" spans="1:10" x14ac:dyDescent="0.25">
      <c r="A359" s="7">
        <v>44557</v>
      </c>
      <c r="B359" s="3" t="s">
        <v>11</v>
      </c>
      <c r="C359" s="3">
        <v>5</v>
      </c>
      <c r="D359" s="3"/>
      <c r="E359" s="3" t="s">
        <v>12</v>
      </c>
      <c r="F359" s="3" t="s">
        <v>13</v>
      </c>
      <c r="G359" s="3" t="s">
        <v>14</v>
      </c>
      <c r="H359" s="3">
        <f>MONTH(Table1[[#This Row],[Date]])</f>
        <v>12</v>
      </c>
      <c r="I359" s="8">
        <f>WEEKDAY(Table1[[#This Row],[Date]])</f>
        <v>2</v>
      </c>
      <c r="J359" s="3">
        <f>(Table1[[#This Row],[Credit]]-Table1[[#This Row],[Debit]])</f>
        <v>-5</v>
      </c>
    </row>
    <row r="360" spans="1:10" x14ac:dyDescent="0.25">
      <c r="A360" s="7">
        <v>44558</v>
      </c>
      <c r="B360" s="3" t="s">
        <v>26</v>
      </c>
      <c r="C360" s="3">
        <v>46.8</v>
      </c>
      <c r="D360" s="3"/>
      <c r="E360" s="3" t="s">
        <v>27</v>
      </c>
      <c r="F360" s="3" t="s">
        <v>28</v>
      </c>
      <c r="G360" s="3" t="s">
        <v>14</v>
      </c>
      <c r="H360" s="3">
        <f>MONTH(Table1[[#This Row],[Date]])</f>
        <v>12</v>
      </c>
      <c r="I360" s="8">
        <f>WEEKDAY(Table1[[#This Row],[Date]])</f>
        <v>3</v>
      </c>
      <c r="J360" s="3">
        <f>(Table1[[#This Row],[Credit]]-Table1[[#This Row],[Debit]])</f>
        <v>-46.8</v>
      </c>
    </row>
    <row r="361" spans="1:10" x14ac:dyDescent="0.25">
      <c r="A361" s="7">
        <v>44559</v>
      </c>
      <c r="B361" s="3" t="s">
        <v>29</v>
      </c>
      <c r="C361" s="3">
        <v>104.70000000000002</v>
      </c>
      <c r="D361" s="3"/>
      <c r="E361" s="3" t="s">
        <v>30</v>
      </c>
      <c r="F361" s="3" t="s">
        <v>28</v>
      </c>
      <c r="G361" s="3" t="s">
        <v>14</v>
      </c>
      <c r="H361" s="3">
        <f>MONTH(Table1[[#This Row],[Date]])</f>
        <v>12</v>
      </c>
      <c r="I361" s="8">
        <f>WEEKDAY(Table1[[#This Row],[Date]])</f>
        <v>4</v>
      </c>
      <c r="J361" s="3">
        <f>(Table1[[#This Row],[Credit]]-Table1[[#This Row],[Debit]])</f>
        <v>-104.70000000000002</v>
      </c>
    </row>
    <row r="362" spans="1:10" x14ac:dyDescent="0.25">
      <c r="A362" s="7">
        <v>44560</v>
      </c>
      <c r="B362" s="3" t="s">
        <v>31</v>
      </c>
      <c r="C362" s="3">
        <v>59.1</v>
      </c>
      <c r="D362" s="3"/>
      <c r="E362" s="3" t="s">
        <v>32</v>
      </c>
      <c r="F362" s="3" t="s">
        <v>13</v>
      </c>
      <c r="G362" s="3" t="s">
        <v>14</v>
      </c>
      <c r="H362" s="3">
        <f>MONTH(Table1[[#This Row],[Date]])</f>
        <v>12</v>
      </c>
      <c r="I362" s="8">
        <f>WEEKDAY(Table1[[#This Row],[Date]])</f>
        <v>5</v>
      </c>
      <c r="J362" s="3">
        <f>(Table1[[#This Row],[Credit]]-Table1[[#This Row],[Debit]])</f>
        <v>-59.1</v>
      </c>
    </row>
    <row r="363" spans="1:10" x14ac:dyDescent="0.25">
      <c r="A363" s="7">
        <v>44561</v>
      </c>
      <c r="B363" s="3" t="s">
        <v>33</v>
      </c>
      <c r="C363" s="3">
        <v>35.1</v>
      </c>
      <c r="D363" s="3"/>
      <c r="E363" s="3" t="s">
        <v>34</v>
      </c>
      <c r="F363" s="3" t="s">
        <v>20</v>
      </c>
      <c r="G363" s="3" t="s">
        <v>14</v>
      </c>
      <c r="H363" s="3">
        <f>MONTH(Table1[[#This Row],[Date]])</f>
        <v>12</v>
      </c>
      <c r="I363" s="8">
        <f>WEEKDAY(Table1[[#This Row],[Date]])</f>
        <v>6</v>
      </c>
      <c r="J363" s="3">
        <f>(Table1[[#This Row],[Credit]]-Table1[[#This Row],[Debit]])</f>
        <v>-35.1</v>
      </c>
    </row>
    <row r="364" spans="1:10" x14ac:dyDescent="0.25">
      <c r="A364" s="7">
        <v>44562</v>
      </c>
      <c r="B364" s="3" t="s">
        <v>35</v>
      </c>
      <c r="C364" s="3"/>
      <c r="D364" s="3">
        <v>800</v>
      </c>
      <c r="E364" s="3" t="s">
        <v>36</v>
      </c>
      <c r="F364" s="3" t="s">
        <v>37</v>
      </c>
      <c r="G364" s="3" t="s">
        <v>10</v>
      </c>
      <c r="H364" s="3">
        <f>MONTH(Table1[[#This Row],[Date]])</f>
        <v>1</v>
      </c>
      <c r="I364" s="8">
        <f>WEEKDAY(Table1[[#This Row],[Date]])</f>
        <v>7</v>
      </c>
      <c r="J364" s="3">
        <f>(Table1[[#This Row],[Credit]]-Table1[[#This Row],[Debit]])</f>
        <v>800</v>
      </c>
    </row>
    <row r="365" spans="1:10" x14ac:dyDescent="0.25">
      <c r="A365" s="7">
        <v>44563</v>
      </c>
      <c r="B365" s="3" t="s">
        <v>11</v>
      </c>
      <c r="C365" s="3">
        <v>5</v>
      </c>
      <c r="D365" s="3"/>
      <c r="E365" s="3" t="s">
        <v>12</v>
      </c>
      <c r="F365" s="3" t="s">
        <v>13</v>
      </c>
      <c r="G365" s="3" t="s">
        <v>14</v>
      </c>
      <c r="H365" s="3">
        <f>MONTH(Table1[[#This Row],[Date]])</f>
        <v>1</v>
      </c>
      <c r="I365" s="8">
        <f>WEEKDAY(Table1[[#This Row],[Date]])</f>
        <v>1</v>
      </c>
      <c r="J365" s="3">
        <f>(Table1[[#This Row],[Credit]]-Table1[[#This Row],[Debit]])</f>
        <v>-5</v>
      </c>
    </row>
    <row r="366" spans="1:10" x14ac:dyDescent="0.25">
      <c r="A366" s="7">
        <v>44564</v>
      </c>
      <c r="B366" s="3" t="s">
        <v>11</v>
      </c>
      <c r="C366" s="3">
        <v>5</v>
      </c>
      <c r="D366" s="3"/>
      <c r="E366" s="3" t="s">
        <v>12</v>
      </c>
      <c r="F366" s="3" t="s">
        <v>13</v>
      </c>
      <c r="G366" s="3" t="s">
        <v>14</v>
      </c>
      <c r="H366" s="3">
        <f>MONTH(Table1[[#This Row],[Date]])</f>
        <v>1</v>
      </c>
      <c r="I366" s="8">
        <f>WEEKDAY(Table1[[#This Row],[Date]])</f>
        <v>2</v>
      </c>
      <c r="J366" s="3">
        <f>(Table1[[#This Row],[Credit]]-Table1[[#This Row],[Debit]])</f>
        <v>-5</v>
      </c>
    </row>
    <row r="367" spans="1:10" x14ac:dyDescent="0.25">
      <c r="A367" s="7">
        <v>44565</v>
      </c>
      <c r="B367" s="3" t="s">
        <v>39</v>
      </c>
      <c r="C367" s="3">
        <v>40</v>
      </c>
      <c r="D367" s="3"/>
      <c r="E367" s="3" t="s">
        <v>39</v>
      </c>
      <c r="F367" s="3" t="s">
        <v>17</v>
      </c>
      <c r="G367" s="3" t="s">
        <v>14</v>
      </c>
      <c r="H367" s="3">
        <f>MONTH(Table1[[#This Row],[Date]])</f>
        <v>1</v>
      </c>
      <c r="I367" s="8">
        <f>WEEKDAY(Table1[[#This Row],[Date]])</f>
        <v>3</v>
      </c>
      <c r="J367" s="3">
        <f>(Table1[[#This Row],[Credit]]-Table1[[#This Row],[Debit]])</f>
        <v>-40</v>
      </c>
    </row>
    <row r="368" spans="1:10" x14ac:dyDescent="0.25">
      <c r="A368" s="7">
        <v>44566</v>
      </c>
      <c r="B368" s="3" t="s">
        <v>40</v>
      </c>
      <c r="C368" s="3">
        <v>52.1</v>
      </c>
      <c r="D368" s="3"/>
      <c r="E368" s="3" t="s">
        <v>41</v>
      </c>
      <c r="F368" s="3" t="s">
        <v>28</v>
      </c>
      <c r="G368" s="3" t="s">
        <v>14</v>
      </c>
      <c r="H368" s="3">
        <f>MONTH(Table1[[#This Row],[Date]])</f>
        <v>1</v>
      </c>
      <c r="I368" s="8">
        <f>WEEKDAY(Table1[[#This Row],[Date]])</f>
        <v>4</v>
      </c>
      <c r="J368" s="3">
        <f>(Table1[[#This Row],[Credit]]-Table1[[#This Row],[Debit]])</f>
        <v>-52.1</v>
      </c>
    </row>
    <row r="369" spans="1:10" x14ac:dyDescent="0.25">
      <c r="A369" s="7">
        <v>44567</v>
      </c>
      <c r="B369" s="3" t="s">
        <v>42</v>
      </c>
      <c r="C369" s="3">
        <v>35</v>
      </c>
      <c r="D369" s="3"/>
      <c r="E369" s="3" t="s">
        <v>27</v>
      </c>
      <c r="F369" s="3" t="s">
        <v>28</v>
      </c>
      <c r="G369" s="3" t="s">
        <v>14</v>
      </c>
      <c r="H369" s="3">
        <f>MONTH(Table1[[#This Row],[Date]])</f>
        <v>1</v>
      </c>
      <c r="I369" s="8">
        <f>WEEKDAY(Table1[[#This Row],[Date]])</f>
        <v>5</v>
      </c>
      <c r="J369" s="3">
        <f>(Table1[[#This Row],[Credit]]-Table1[[#This Row],[Debit]])</f>
        <v>-35</v>
      </c>
    </row>
    <row r="370" spans="1:10" x14ac:dyDescent="0.25">
      <c r="A370" s="7">
        <v>44568</v>
      </c>
      <c r="B370" s="3" t="s">
        <v>11</v>
      </c>
      <c r="C370" s="3">
        <v>5</v>
      </c>
      <c r="D370" s="3"/>
      <c r="E370" s="3" t="s">
        <v>12</v>
      </c>
      <c r="F370" s="3" t="s">
        <v>13</v>
      </c>
      <c r="G370" s="3" t="s">
        <v>14</v>
      </c>
      <c r="H370" s="3">
        <f>MONTH(Table1[[#This Row],[Date]])</f>
        <v>1</v>
      </c>
      <c r="I370" s="8">
        <f>WEEKDAY(Table1[[#This Row],[Date]])</f>
        <v>6</v>
      </c>
      <c r="J370" s="3">
        <f>(Table1[[#This Row],[Credit]]-Table1[[#This Row],[Debit]])</f>
        <v>-5</v>
      </c>
    </row>
    <row r="371" spans="1:10" x14ac:dyDescent="0.25">
      <c r="A371" s="7">
        <v>44569</v>
      </c>
      <c r="B371" s="3" t="s">
        <v>11</v>
      </c>
      <c r="C371" s="3">
        <v>5</v>
      </c>
      <c r="D371" s="3"/>
      <c r="E371" s="3" t="s">
        <v>12</v>
      </c>
      <c r="F371" s="3" t="s">
        <v>13</v>
      </c>
      <c r="G371" s="3" t="s">
        <v>14</v>
      </c>
      <c r="H371" s="3">
        <f>MONTH(Table1[[#This Row],[Date]])</f>
        <v>1</v>
      </c>
      <c r="I371" s="8">
        <f>WEEKDAY(Table1[[#This Row],[Date]])</f>
        <v>7</v>
      </c>
      <c r="J371" s="3">
        <f>(Table1[[#This Row],[Credit]]-Table1[[#This Row],[Debit]])</f>
        <v>-5</v>
      </c>
    </row>
    <row r="372" spans="1:10" x14ac:dyDescent="0.25">
      <c r="A372" s="7">
        <v>44570</v>
      </c>
      <c r="B372" s="3" t="s">
        <v>11</v>
      </c>
      <c r="C372" s="3">
        <v>5</v>
      </c>
      <c r="D372" s="3"/>
      <c r="E372" s="3" t="s">
        <v>12</v>
      </c>
      <c r="F372" s="3" t="s">
        <v>13</v>
      </c>
      <c r="G372" s="3" t="s">
        <v>14</v>
      </c>
      <c r="H372" s="3">
        <f>MONTH(Table1[[#This Row],[Date]])</f>
        <v>1</v>
      </c>
      <c r="I372" s="8">
        <f>WEEKDAY(Table1[[#This Row],[Date]])</f>
        <v>1</v>
      </c>
      <c r="J372" s="3">
        <f>(Table1[[#This Row],[Credit]]-Table1[[#This Row],[Debit]])</f>
        <v>-5</v>
      </c>
    </row>
    <row r="373" spans="1:10" x14ac:dyDescent="0.25">
      <c r="A373" s="7">
        <v>44571</v>
      </c>
      <c r="B373" s="3" t="s">
        <v>21</v>
      </c>
      <c r="C373" s="3">
        <v>177</v>
      </c>
      <c r="D373" s="3"/>
      <c r="E373" s="3" t="s">
        <v>22</v>
      </c>
      <c r="F373" s="3" t="s">
        <v>17</v>
      </c>
      <c r="G373" s="3" t="s">
        <v>14</v>
      </c>
      <c r="H373" s="3">
        <f>MONTH(Table1[[#This Row],[Date]])</f>
        <v>1</v>
      </c>
      <c r="I373" s="8">
        <f>WEEKDAY(Table1[[#This Row],[Date]])</f>
        <v>2</v>
      </c>
      <c r="J373" s="3">
        <f>(Table1[[#This Row],[Credit]]-Table1[[#This Row],[Debit]])</f>
        <v>-177</v>
      </c>
    </row>
    <row r="374" spans="1:10" x14ac:dyDescent="0.25">
      <c r="A374" s="7">
        <v>44572</v>
      </c>
      <c r="B374" s="3" t="s">
        <v>43</v>
      </c>
      <c r="C374" s="3">
        <v>44.2</v>
      </c>
      <c r="D374" s="3"/>
      <c r="E374" s="3" t="s">
        <v>32</v>
      </c>
      <c r="F374" s="3" t="s">
        <v>13</v>
      </c>
      <c r="G374" s="3" t="s">
        <v>14</v>
      </c>
      <c r="H374" s="3">
        <f>MONTH(Table1[[#This Row],[Date]])</f>
        <v>1</v>
      </c>
      <c r="I374" s="8">
        <f>WEEKDAY(Table1[[#This Row],[Date]])</f>
        <v>3</v>
      </c>
      <c r="J374" s="3">
        <f>(Table1[[#This Row],[Credit]]-Table1[[#This Row],[Debit]])</f>
        <v>-44.2</v>
      </c>
    </row>
    <row r="375" spans="1:10" x14ac:dyDescent="0.25">
      <c r="A375" s="7">
        <v>44573</v>
      </c>
      <c r="B375" s="3" t="s">
        <v>44</v>
      </c>
      <c r="C375" s="3">
        <v>19.2</v>
      </c>
      <c r="D375" s="3"/>
      <c r="E375" s="3" t="s">
        <v>32</v>
      </c>
      <c r="F375" s="3" t="s">
        <v>13</v>
      </c>
      <c r="G375" s="3" t="s">
        <v>14</v>
      </c>
      <c r="H375" s="3">
        <f>MONTH(Table1[[#This Row],[Date]])</f>
        <v>1</v>
      </c>
      <c r="I375" s="8">
        <f>WEEKDAY(Table1[[#This Row],[Date]])</f>
        <v>4</v>
      </c>
      <c r="J375" s="3">
        <f>(Table1[[#This Row],[Credit]]-Table1[[#This Row],[Debit]])</f>
        <v>-19.2</v>
      </c>
    </row>
    <row r="376" spans="1:10" x14ac:dyDescent="0.25">
      <c r="A376" s="7">
        <v>44574</v>
      </c>
      <c r="B376" s="3" t="s">
        <v>45</v>
      </c>
      <c r="C376" s="3">
        <v>55</v>
      </c>
      <c r="D376" s="3"/>
      <c r="E376" s="3" t="s">
        <v>46</v>
      </c>
      <c r="F376" s="3" t="s">
        <v>47</v>
      </c>
      <c r="G376" s="3" t="s">
        <v>14</v>
      </c>
      <c r="H376" s="3">
        <f>MONTH(Table1[[#This Row],[Date]])</f>
        <v>1</v>
      </c>
      <c r="I376" s="8">
        <f>WEEKDAY(Table1[[#This Row],[Date]])</f>
        <v>5</v>
      </c>
      <c r="J376" s="3">
        <f>(Table1[[#This Row],[Credit]]-Table1[[#This Row],[Debit]])</f>
        <v>-55</v>
      </c>
    </row>
    <row r="377" spans="1:10" x14ac:dyDescent="0.25">
      <c r="A377" s="7">
        <v>44575</v>
      </c>
      <c r="B377" s="3" t="s">
        <v>25</v>
      </c>
      <c r="C377" s="3">
        <v>69.700000000000017</v>
      </c>
      <c r="D377" s="3"/>
      <c r="E377" s="3" t="s">
        <v>48</v>
      </c>
      <c r="F377" s="3" t="s">
        <v>20</v>
      </c>
      <c r="G377" s="3" t="s">
        <v>14</v>
      </c>
      <c r="H377" s="3">
        <f>MONTH(Table1[[#This Row],[Date]])</f>
        <v>1</v>
      </c>
      <c r="I377" s="8">
        <f>WEEKDAY(Table1[[#This Row],[Date]])</f>
        <v>6</v>
      </c>
      <c r="J377" s="3">
        <f>(Table1[[#This Row],[Credit]]-Table1[[#This Row],[Debit]])</f>
        <v>-69.700000000000017</v>
      </c>
    </row>
    <row r="378" spans="1:10" x14ac:dyDescent="0.25">
      <c r="A378" s="7">
        <v>44576</v>
      </c>
      <c r="B378" s="3" t="s">
        <v>11</v>
      </c>
      <c r="C378" s="3">
        <v>5</v>
      </c>
      <c r="D378" s="3"/>
      <c r="E378" s="3" t="s">
        <v>12</v>
      </c>
      <c r="F378" s="3" t="s">
        <v>13</v>
      </c>
      <c r="G378" s="3" t="s">
        <v>14</v>
      </c>
      <c r="H378" s="3">
        <f>MONTH(Table1[[#This Row],[Date]])</f>
        <v>1</v>
      </c>
      <c r="I378" s="8">
        <f>WEEKDAY(Table1[[#This Row],[Date]])</f>
        <v>7</v>
      </c>
      <c r="J378" s="3">
        <f>(Table1[[#This Row],[Credit]]-Table1[[#This Row],[Debit]])</f>
        <v>-5</v>
      </c>
    </row>
    <row r="379" spans="1:10" x14ac:dyDescent="0.25">
      <c r="A379" s="7">
        <v>44577</v>
      </c>
      <c r="B379" s="3" t="s">
        <v>11</v>
      </c>
      <c r="C379" s="3">
        <v>5</v>
      </c>
      <c r="D379" s="3"/>
      <c r="E379" s="3" t="s">
        <v>12</v>
      </c>
      <c r="F379" s="3" t="s">
        <v>13</v>
      </c>
      <c r="G379" s="3" t="s">
        <v>14</v>
      </c>
      <c r="H379" s="3">
        <f>MONTH(Table1[[#This Row],[Date]])</f>
        <v>1</v>
      </c>
      <c r="I379" s="8">
        <f>WEEKDAY(Table1[[#This Row],[Date]])</f>
        <v>1</v>
      </c>
      <c r="J379" s="3">
        <f>(Table1[[#This Row],[Credit]]-Table1[[#This Row],[Debit]])</f>
        <v>-5</v>
      </c>
    </row>
    <row r="380" spans="1:10" x14ac:dyDescent="0.25">
      <c r="A380" s="7">
        <v>44578</v>
      </c>
      <c r="B380" s="3" t="s">
        <v>11</v>
      </c>
      <c r="C380" s="3">
        <v>5</v>
      </c>
      <c r="D380" s="3"/>
      <c r="E380" s="3" t="s">
        <v>12</v>
      </c>
      <c r="F380" s="3" t="s">
        <v>13</v>
      </c>
      <c r="G380" s="3" t="s">
        <v>14</v>
      </c>
      <c r="H380" s="3">
        <f>MONTH(Table1[[#This Row],[Date]])</f>
        <v>1</v>
      </c>
      <c r="I380" s="8">
        <f>WEEKDAY(Table1[[#This Row],[Date]])</f>
        <v>2</v>
      </c>
      <c r="J380" s="3">
        <f>(Table1[[#This Row],[Credit]]-Table1[[#This Row],[Debit]])</f>
        <v>-5</v>
      </c>
    </row>
    <row r="381" spans="1:10" x14ac:dyDescent="0.25">
      <c r="A381" s="7">
        <v>44579</v>
      </c>
      <c r="B381" s="3" t="s">
        <v>11</v>
      </c>
      <c r="C381" s="3">
        <v>5</v>
      </c>
      <c r="D381" s="3"/>
      <c r="E381" s="3" t="s">
        <v>12</v>
      </c>
      <c r="F381" s="3" t="s">
        <v>13</v>
      </c>
      <c r="G381" s="3" t="s">
        <v>14</v>
      </c>
      <c r="H381" s="3">
        <f>MONTH(Table1[[#This Row],[Date]])</f>
        <v>1</v>
      </c>
      <c r="I381" s="8">
        <f>WEEKDAY(Table1[[#This Row],[Date]])</f>
        <v>3</v>
      </c>
      <c r="J381" s="3">
        <f>(Table1[[#This Row],[Credit]]-Table1[[#This Row],[Debit]])</f>
        <v>-5</v>
      </c>
    </row>
    <row r="382" spans="1:10" x14ac:dyDescent="0.25">
      <c r="A382" s="7">
        <v>44580</v>
      </c>
      <c r="B382" s="3" t="s">
        <v>11</v>
      </c>
      <c r="C382" s="3">
        <v>5</v>
      </c>
      <c r="D382" s="3"/>
      <c r="E382" s="3" t="s">
        <v>12</v>
      </c>
      <c r="F382" s="3" t="s">
        <v>13</v>
      </c>
      <c r="G382" s="3" t="s">
        <v>14</v>
      </c>
      <c r="H382" s="3">
        <f>MONTH(Table1[[#This Row],[Date]])</f>
        <v>1</v>
      </c>
      <c r="I382" s="8">
        <f>WEEKDAY(Table1[[#This Row],[Date]])</f>
        <v>4</v>
      </c>
      <c r="J382" s="3">
        <f>(Table1[[#This Row],[Credit]]-Table1[[#This Row],[Debit]])</f>
        <v>-5</v>
      </c>
    </row>
    <row r="383" spans="1:10" x14ac:dyDescent="0.25">
      <c r="A383" s="7">
        <v>44581</v>
      </c>
      <c r="B383" s="3" t="s">
        <v>21</v>
      </c>
      <c r="C383" s="3">
        <v>117</v>
      </c>
      <c r="D383" s="3"/>
      <c r="E383" s="3" t="s">
        <v>22</v>
      </c>
      <c r="F383" s="3" t="s">
        <v>17</v>
      </c>
      <c r="G383" s="3" t="s">
        <v>14</v>
      </c>
      <c r="H383" s="3">
        <f>MONTH(Table1[[#This Row],[Date]])</f>
        <v>1</v>
      </c>
      <c r="I383" s="8">
        <f>WEEKDAY(Table1[[#This Row],[Date]])</f>
        <v>5</v>
      </c>
      <c r="J383" s="3">
        <f>(Table1[[#This Row],[Credit]]-Table1[[#This Row],[Debit]])</f>
        <v>-117</v>
      </c>
    </row>
    <row r="384" spans="1:10" x14ac:dyDescent="0.25">
      <c r="A384" s="7">
        <v>44582</v>
      </c>
      <c r="B384" s="3" t="s">
        <v>49</v>
      </c>
      <c r="C384" s="3">
        <v>131.9</v>
      </c>
      <c r="D384" s="3"/>
      <c r="E384" s="3" t="s">
        <v>30</v>
      </c>
      <c r="F384" s="3" t="s">
        <v>28</v>
      </c>
      <c r="G384" s="3" t="s">
        <v>14</v>
      </c>
      <c r="H384" s="3">
        <f>MONTH(Table1[[#This Row],[Date]])</f>
        <v>1</v>
      </c>
      <c r="I384" s="8">
        <f>WEEKDAY(Table1[[#This Row],[Date]])</f>
        <v>6</v>
      </c>
      <c r="J384" s="3">
        <f>(Table1[[#This Row],[Credit]]-Table1[[#This Row],[Debit]])</f>
        <v>-131.9</v>
      </c>
    </row>
    <row r="385" spans="1:10" x14ac:dyDescent="0.25">
      <c r="A385" s="7">
        <v>44583</v>
      </c>
      <c r="B385" s="3" t="s">
        <v>50</v>
      </c>
      <c r="C385" s="3">
        <v>182.39999999999998</v>
      </c>
      <c r="D385" s="3"/>
      <c r="E385" s="3" t="s">
        <v>27</v>
      </c>
      <c r="F385" s="3" t="s">
        <v>28</v>
      </c>
      <c r="G385" s="3" t="s">
        <v>14</v>
      </c>
      <c r="H385" s="3">
        <f>MONTH(Table1[[#This Row],[Date]])</f>
        <v>1</v>
      </c>
      <c r="I385" s="8">
        <f>WEEKDAY(Table1[[#This Row],[Date]])</f>
        <v>7</v>
      </c>
      <c r="J385" s="3">
        <f>(Table1[[#This Row],[Credit]]-Table1[[#This Row],[Debit]])</f>
        <v>-182.39999999999998</v>
      </c>
    </row>
    <row r="386" spans="1:10" x14ac:dyDescent="0.25">
      <c r="A386" s="7">
        <v>44584</v>
      </c>
      <c r="B386" s="3" t="s">
        <v>29</v>
      </c>
      <c r="C386" s="3">
        <v>152.29999999999998</v>
      </c>
      <c r="D386" s="3"/>
      <c r="E386" s="3" t="s">
        <v>30</v>
      </c>
      <c r="F386" s="3" t="s">
        <v>28</v>
      </c>
      <c r="G386" s="3" t="s">
        <v>14</v>
      </c>
      <c r="H386" s="3">
        <f>MONTH(Table1[[#This Row],[Date]])</f>
        <v>1</v>
      </c>
      <c r="I386" s="8">
        <f>WEEKDAY(Table1[[#This Row],[Date]])</f>
        <v>1</v>
      </c>
      <c r="J386" s="3">
        <f>(Table1[[#This Row],[Credit]]-Table1[[#This Row],[Debit]])</f>
        <v>-152.29999999999998</v>
      </c>
    </row>
    <row r="387" spans="1:10" x14ac:dyDescent="0.25">
      <c r="A387" s="7">
        <v>44585</v>
      </c>
      <c r="B387" s="3" t="s">
        <v>33</v>
      </c>
      <c r="C387" s="3">
        <v>30.300000000000004</v>
      </c>
      <c r="D387" s="3"/>
      <c r="E387" s="3" t="s">
        <v>34</v>
      </c>
      <c r="F387" s="3" t="s">
        <v>20</v>
      </c>
      <c r="G387" s="3" t="s">
        <v>14</v>
      </c>
      <c r="H387" s="3">
        <f>MONTH(Table1[[#This Row],[Date]])</f>
        <v>1</v>
      </c>
      <c r="I387" s="8">
        <f>WEEKDAY(Table1[[#This Row],[Date]])</f>
        <v>2</v>
      </c>
      <c r="J387" s="3">
        <f>(Table1[[#This Row],[Credit]]-Table1[[#This Row],[Debit]])</f>
        <v>-30.300000000000004</v>
      </c>
    </row>
    <row r="388" spans="1:10" x14ac:dyDescent="0.25">
      <c r="A388" s="7">
        <v>44586</v>
      </c>
      <c r="B388" s="3" t="s">
        <v>56</v>
      </c>
      <c r="C388" s="3">
        <v>15</v>
      </c>
      <c r="D388" s="3"/>
      <c r="E388" s="3" t="s">
        <v>32</v>
      </c>
      <c r="F388" s="3" t="s">
        <v>13</v>
      </c>
      <c r="G388" s="3" t="s">
        <v>14</v>
      </c>
      <c r="H388" s="3">
        <f>MONTH(Table1[[#This Row],[Date]])</f>
        <v>1</v>
      </c>
      <c r="I388" s="8">
        <f>WEEKDAY(Table1[[#This Row],[Date]])</f>
        <v>3</v>
      </c>
      <c r="J388" s="3">
        <f>(Table1[[#This Row],[Credit]]-Table1[[#This Row],[Debit]])</f>
        <v>-15</v>
      </c>
    </row>
    <row r="389" spans="1:10" x14ac:dyDescent="0.25">
      <c r="A389" s="7">
        <v>44587</v>
      </c>
      <c r="B389" s="3" t="s">
        <v>11</v>
      </c>
      <c r="C389" s="3">
        <v>5</v>
      </c>
      <c r="D389" s="3"/>
      <c r="E389" s="3" t="s">
        <v>12</v>
      </c>
      <c r="F389" s="3" t="s">
        <v>13</v>
      </c>
      <c r="G389" s="3" t="s">
        <v>14</v>
      </c>
      <c r="H389" s="3">
        <f>MONTH(Table1[[#This Row],[Date]])</f>
        <v>1</v>
      </c>
      <c r="I389" s="8">
        <f>WEEKDAY(Table1[[#This Row],[Date]])</f>
        <v>4</v>
      </c>
      <c r="J389" s="3">
        <f>(Table1[[#This Row],[Credit]]-Table1[[#This Row],[Debit]])</f>
        <v>-5</v>
      </c>
    </row>
    <row r="390" spans="1:10" x14ac:dyDescent="0.25">
      <c r="A390" s="7">
        <v>44588</v>
      </c>
      <c r="B390" s="3" t="s">
        <v>11</v>
      </c>
      <c r="C390" s="3">
        <v>5</v>
      </c>
      <c r="D390" s="3"/>
      <c r="E390" s="3" t="s">
        <v>12</v>
      </c>
      <c r="F390" s="3" t="s">
        <v>13</v>
      </c>
      <c r="G390" s="3" t="s">
        <v>14</v>
      </c>
      <c r="H390" s="3">
        <f>MONTH(Table1[[#This Row],[Date]])</f>
        <v>1</v>
      </c>
      <c r="I390" s="8">
        <f>WEEKDAY(Table1[[#This Row],[Date]])</f>
        <v>5</v>
      </c>
      <c r="J390" s="3">
        <f>(Table1[[#This Row],[Credit]]-Table1[[#This Row],[Debit]])</f>
        <v>-5</v>
      </c>
    </row>
    <row r="391" spans="1:10" x14ac:dyDescent="0.25">
      <c r="A391" s="7">
        <v>44589</v>
      </c>
      <c r="B391" s="3" t="s">
        <v>7</v>
      </c>
      <c r="C391" s="3"/>
      <c r="D391" s="3">
        <v>5000</v>
      </c>
      <c r="E391" s="3" t="s">
        <v>8</v>
      </c>
      <c r="F391" s="3" t="s">
        <v>9</v>
      </c>
      <c r="G391" s="3" t="s">
        <v>10</v>
      </c>
      <c r="H391" s="3">
        <f>MONTH(Table1[[#This Row],[Date]])</f>
        <v>1</v>
      </c>
      <c r="I391" s="8">
        <f>WEEKDAY(Table1[[#This Row],[Date]])</f>
        <v>6</v>
      </c>
      <c r="J391" s="3">
        <f>(Table1[[#This Row],[Credit]]-Table1[[#This Row],[Debit]])</f>
        <v>5000</v>
      </c>
    </row>
    <row r="392" spans="1:10" x14ac:dyDescent="0.25">
      <c r="A392" s="7">
        <v>44590</v>
      </c>
      <c r="B392" s="3" t="s">
        <v>11</v>
      </c>
      <c r="C392" s="3">
        <v>5</v>
      </c>
      <c r="D392" s="3"/>
      <c r="E392" s="3" t="s">
        <v>12</v>
      </c>
      <c r="F392" s="3" t="s">
        <v>13</v>
      </c>
      <c r="G392" s="3" t="s">
        <v>14</v>
      </c>
      <c r="H392" s="3">
        <f>MONTH(Table1[[#This Row],[Date]])</f>
        <v>1</v>
      </c>
      <c r="I392" s="8">
        <f>WEEKDAY(Table1[[#This Row],[Date]])</f>
        <v>7</v>
      </c>
      <c r="J392" s="3">
        <f>(Table1[[#This Row],[Credit]]-Table1[[#This Row],[Debit]])</f>
        <v>-5</v>
      </c>
    </row>
    <row r="393" spans="1:10" x14ac:dyDescent="0.25">
      <c r="A393" s="7">
        <v>44591</v>
      </c>
      <c r="B393" s="3" t="s">
        <v>15</v>
      </c>
      <c r="C393" s="3">
        <v>900</v>
      </c>
      <c r="D393" s="3"/>
      <c r="E393" s="3" t="s">
        <v>16</v>
      </c>
      <c r="F393" s="3" t="s">
        <v>17</v>
      </c>
      <c r="G393" s="3" t="s">
        <v>14</v>
      </c>
      <c r="H393" s="3">
        <f>MONTH(Table1[[#This Row],[Date]])</f>
        <v>1</v>
      </c>
      <c r="I393" s="8">
        <f>WEEKDAY(Table1[[#This Row],[Date]])</f>
        <v>1</v>
      </c>
      <c r="J393" s="3">
        <f>(Table1[[#This Row],[Credit]]-Table1[[#This Row],[Debit]])</f>
        <v>-900</v>
      </c>
    </row>
    <row r="394" spans="1:10" x14ac:dyDescent="0.25">
      <c r="A394" s="7">
        <v>44592</v>
      </c>
      <c r="B394" s="3" t="s">
        <v>18</v>
      </c>
      <c r="C394" s="3">
        <v>150</v>
      </c>
      <c r="D394" s="3"/>
      <c r="E394" s="3" t="s">
        <v>19</v>
      </c>
      <c r="F394" s="3" t="s">
        <v>20</v>
      </c>
      <c r="G394" s="3" t="s">
        <v>14</v>
      </c>
      <c r="H394" s="3">
        <f>MONTH(Table1[[#This Row],[Date]])</f>
        <v>1</v>
      </c>
      <c r="I394" s="8">
        <f>WEEKDAY(Table1[[#This Row],[Date]])</f>
        <v>2</v>
      </c>
      <c r="J394" s="3">
        <f>(Table1[[#This Row],[Credit]]-Table1[[#This Row],[Debit]])</f>
        <v>-150</v>
      </c>
    </row>
    <row r="395" spans="1:10" x14ac:dyDescent="0.25">
      <c r="A395" s="7">
        <v>44593</v>
      </c>
      <c r="B395" s="3" t="s">
        <v>11</v>
      </c>
      <c r="C395" s="3">
        <v>5</v>
      </c>
      <c r="D395" s="3"/>
      <c r="E395" s="3" t="s">
        <v>12</v>
      </c>
      <c r="F395" s="3" t="s">
        <v>13</v>
      </c>
      <c r="G395" s="3" t="s">
        <v>14</v>
      </c>
      <c r="H395" s="3">
        <f>MONTH(Table1[[#This Row],[Date]])</f>
        <v>2</v>
      </c>
      <c r="I395" s="8">
        <f>WEEKDAY(Table1[[#This Row],[Date]])</f>
        <v>3</v>
      </c>
      <c r="J395" s="3">
        <f>(Table1[[#This Row],[Credit]]-Table1[[#This Row],[Debit]])</f>
        <v>-5</v>
      </c>
    </row>
    <row r="396" spans="1:10" x14ac:dyDescent="0.25">
      <c r="A396" s="7">
        <v>44594</v>
      </c>
      <c r="B396" s="3" t="s">
        <v>11</v>
      </c>
      <c r="C396" s="3">
        <v>5</v>
      </c>
      <c r="D396" s="3"/>
      <c r="E396" s="3" t="s">
        <v>12</v>
      </c>
      <c r="F396" s="3" t="s">
        <v>13</v>
      </c>
      <c r="G396" s="3" t="s">
        <v>14</v>
      </c>
      <c r="H396" s="3">
        <f>MONTH(Table1[[#This Row],[Date]])</f>
        <v>2</v>
      </c>
      <c r="I396" s="8">
        <f>WEEKDAY(Table1[[#This Row],[Date]])</f>
        <v>4</v>
      </c>
      <c r="J396" s="3">
        <f>(Table1[[#This Row],[Credit]]-Table1[[#This Row],[Debit]])</f>
        <v>-5</v>
      </c>
    </row>
    <row r="397" spans="1:10" x14ac:dyDescent="0.25">
      <c r="A397" s="7">
        <v>44595</v>
      </c>
      <c r="B397" s="3" t="s">
        <v>11</v>
      </c>
      <c r="C397" s="3">
        <v>5</v>
      </c>
      <c r="D397" s="3"/>
      <c r="E397" s="3" t="s">
        <v>12</v>
      </c>
      <c r="F397" s="3" t="s">
        <v>13</v>
      </c>
      <c r="G397" s="3" t="s">
        <v>14</v>
      </c>
      <c r="H397" s="3">
        <f>MONTH(Table1[[#This Row],[Date]])</f>
        <v>2</v>
      </c>
      <c r="I397" s="8">
        <f>WEEKDAY(Table1[[#This Row],[Date]])</f>
        <v>5</v>
      </c>
      <c r="J397" s="3">
        <f>(Table1[[#This Row],[Credit]]-Table1[[#This Row],[Debit]])</f>
        <v>-5</v>
      </c>
    </row>
    <row r="398" spans="1:10" x14ac:dyDescent="0.25">
      <c r="A398" s="7">
        <v>44596</v>
      </c>
      <c r="B398" s="3" t="s">
        <v>11</v>
      </c>
      <c r="C398" s="3">
        <v>5</v>
      </c>
      <c r="D398" s="3"/>
      <c r="E398" s="3" t="s">
        <v>12</v>
      </c>
      <c r="F398" s="3" t="s">
        <v>13</v>
      </c>
      <c r="G398" s="3" t="s">
        <v>14</v>
      </c>
      <c r="H398" s="3">
        <f>MONTH(Table1[[#This Row],[Date]])</f>
        <v>2</v>
      </c>
      <c r="I398" s="8">
        <f>WEEKDAY(Table1[[#This Row],[Date]])</f>
        <v>6</v>
      </c>
      <c r="J398" s="3">
        <f>(Table1[[#This Row],[Credit]]-Table1[[#This Row],[Debit]])</f>
        <v>-5</v>
      </c>
    </row>
    <row r="399" spans="1:10" x14ac:dyDescent="0.25">
      <c r="A399" s="7">
        <v>44597</v>
      </c>
      <c r="B399" s="3" t="s">
        <v>21</v>
      </c>
      <c r="C399" s="3">
        <v>163.39999999999998</v>
      </c>
      <c r="D399" s="3"/>
      <c r="E399" s="3" t="s">
        <v>22</v>
      </c>
      <c r="F399" s="3" t="s">
        <v>17</v>
      </c>
      <c r="G399" s="3" t="s">
        <v>14</v>
      </c>
      <c r="H399" s="3">
        <f>MONTH(Table1[[#This Row],[Date]])</f>
        <v>2</v>
      </c>
      <c r="I399" s="8">
        <f>WEEKDAY(Table1[[#This Row],[Date]])</f>
        <v>7</v>
      </c>
      <c r="J399" s="3">
        <f>(Table1[[#This Row],[Credit]]-Table1[[#This Row],[Debit]])</f>
        <v>-163.39999999999998</v>
      </c>
    </row>
    <row r="400" spans="1:10" x14ac:dyDescent="0.25">
      <c r="A400" s="7">
        <v>44598</v>
      </c>
      <c r="B400" s="3" t="s">
        <v>23</v>
      </c>
      <c r="C400" s="3">
        <v>58.1</v>
      </c>
      <c r="D400" s="3"/>
      <c r="E400" s="3" t="s">
        <v>24</v>
      </c>
      <c r="F400" s="3" t="s">
        <v>17</v>
      </c>
      <c r="G400" s="3" t="s">
        <v>14</v>
      </c>
      <c r="H400" s="3">
        <f>MONTH(Table1[[#This Row],[Date]])</f>
        <v>2</v>
      </c>
      <c r="I400" s="8">
        <f>WEEKDAY(Table1[[#This Row],[Date]])</f>
        <v>1</v>
      </c>
      <c r="J400" s="3">
        <f>(Table1[[#This Row],[Credit]]-Table1[[#This Row],[Debit]])</f>
        <v>-58.1</v>
      </c>
    </row>
    <row r="401" spans="1:10" x14ac:dyDescent="0.25">
      <c r="A401" s="7">
        <v>44599</v>
      </c>
      <c r="B401" s="3" t="s">
        <v>11</v>
      </c>
      <c r="C401" s="3">
        <v>5</v>
      </c>
      <c r="D401" s="3"/>
      <c r="E401" s="3" t="s">
        <v>12</v>
      </c>
      <c r="F401" s="3" t="s">
        <v>13</v>
      </c>
      <c r="G401" s="3" t="s">
        <v>14</v>
      </c>
      <c r="H401" s="3">
        <f>MONTH(Table1[[#This Row],[Date]])</f>
        <v>2</v>
      </c>
      <c r="I401" s="8">
        <f>WEEKDAY(Table1[[#This Row],[Date]])</f>
        <v>2</v>
      </c>
      <c r="J401" s="3">
        <f>(Table1[[#This Row],[Credit]]-Table1[[#This Row],[Debit]])</f>
        <v>-5</v>
      </c>
    </row>
    <row r="402" spans="1:10" x14ac:dyDescent="0.25">
      <c r="A402" s="7">
        <v>44600</v>
      </c>
      <c r="B402" s="3" t="s">
        <v>11</v>
      </c>
      <c r="C402" s="3">
        <v>5</v>
      </c>
      <c r="D402" s="3"/>
      <c r="E402" s="3" t="s">
        <v>12</v>
      </c>
      <c r="F402" s="3" t="s">
        <v>13</v>
      </c>
      <c r="G402" s="3" t="s">
        <v>14</v>
      </c>
      <c r="H402" s="3">
        <f>MONTH(Table1[[#This Row],[Date]])</f>
        <v>2</v>
      </c>
      <c r="I402" s="8">
        <f>WEEKDAY(Table1[[#This Row],[Date]])</f>
        <v>3</v>
      </c>
      <c r="J402" s="3">
        <f>(Table1[[#This Row],[Credit]]-Table1[[#This Row],[Debit]])</f>
        <v>-5</v>
      </c>
    </row>
    <row r="403" spans="1:10" x14ac:dyDescent="0.25">
      <c r="A403" s="7">
        <v>44601</v>
      </c>
      <c r="B403" s="3" t="s">
        <v>25</v>
      </c>
      <c r="C403" s="3">
        <v>85.299999999999983</v>
      </c>
      <c r="D403" s="3"/>
      <c r="E403" s="3" t="s">
        <v>48</v>
      </c>
      <c r="F403" s="3" t="s">
        <v>20</v>
      </c>
      <c r="G403" s="3" t="s">
        <v>14</v>
      </c>
      <c r="H403" s="3">
        <f>MONTH(Table1[[#This Row],[Date]])</f>
        <v>2</v>
      </c>
      <c r="I403" s="8">
        <f>WEEKDAY(Table1[[#This Row],[Date]])</f>
        <v>4</v>
      </c>
      <c r="J403" s="3">
        <f>(Table1[[#This Row],[Credit]]-Table1[[#This Row],[Debit]])</f>
        <v>-85.299999999999983</v>
      </c>
    </row>
    <row r="404" spans="1:10" x14ac:dyDescent="0.25">
      <c r="A404" s="7">
        <v>44602</v>
      </c>
      <c r="B404" s="3" t="s">
        <v>11</v>
      </c>
      <c r="C404" s="3">
        <v>5</v>
      </c>
      <c r="D404" s="3"/>
      <c r="E404" s="3" t="s">
        <v>12</v>
      </c>
      <c r="F404" s="3" t="s">
        <v>13</v>
      </c>
      <c r="G404" s="3" t="s">
        <v>14</v>
      </c>
      <c r="H404" s="3">
        <f>MONTH(Table1[[#This Row],[Date]])</f>
        <v>2</v>
      </c>
      <c r="I404" s="8">
        <f>WEEKDAY(Table1[[#This Row],[Date]])</f>
        <v>5</v>
      </c>
      <c r="J404" s="3">
        <f>(Table1[[#This Row],[Credit]]-Table1[[#This Row],[Debit]])</f>
        <v>-5</v>
      </c>
    </row>
    <row r="405" spans="1:10" x14ac:dyDescent="0.25">
      <c r="A405" s="7">
        <v>44603</v>
      </c>
      <c r="B405" s="3" t="s">
        <v>11</v>
      </c>
      <c r="C405" s="3">
        <v>5</v>
      </c>
      <c r="D405" s="3"/>
      <c r="E405" s="3" t="s">
        <v>12</v>
      </c>
      <c r="F405" s="3" t="s">
        <v>13</v>
      </c>
      <c r="G405" s="3" t="s">
        <v>14</v>
      </c>
      <c r="H405" s="3">
        <f>MONTH(Table1[[#This Row],[Date]])</f>
        <v>2</v>
      </c>
      <c r="I405" s="8">
        <f>WEEKDAY(Table1[[#This Row],[Date]])</f>
        <v>6</v>
      </c>
      <c r="J405" s="3">
        <f>(Table1[[#This Row],[Credit]]-Table1[[#This Row],[Debit]])</f>
        <v>-5</v>
      </c>
    </row>
    <row r="406" spans="1:10" x14ac:dyDescent="0.25">
      <c r="A406" s="7">
        <v>44604</v>
      </c>
      <c r="B406" s="3" t="s">
        <v>21</v>
      </c>
      <c r="C406" s="3">
        <v>143</v>
      </c>
      <c r="D406" s="3"/>
      <c r="E406" s="3" t="s">
        <v>22</v>
      </c>
      <c r="F406" s="3" t="s">
        <v>17</v>
      </c>
      <c r="G406" s="3" t="s">
        <v>14</v>
      </c>
      <c r="H406" s="3">
        <f>MONTH(Table1[[#This Row],[Date]])</f>
        <v>2</v>
      </c>
      <c r="I406" s="8">
        <f>WEEKDAY(Table1[[#This Row],[Date]])</f>
        <v>7</v>
      </c>
      <c r="J406" s="3">
        <f>(Table1[[#This Row],[Credit]]-Table1[[#This Row],[Debit]])</f>
        <v>-143</v>
      </c>
    </row>
    <row r="407" spans="1:10" x14ac:dyDescent="0.25">
      <c r="A407" s="7">
        <v>44605</v>
      </c>
      <c r="B407" s="3" t="s">
        <v>11</v>
      </c>
      <c r="C407" s="3">
        <v>5</v>
      </c>
      <c r="D407" s="3"/>
      <c r="E407" s="3" t="s">
        <v>12</v>
      </c>
      <c r="F407" s="3" t="s">
        <v>13</v>
      </c>
      <c r="G407" s="3" t="s">
        <v>14</v>
      </c>
      <c r="H407" s="3">
        <f>MONTH(Table1[[#This Row],[Date]])</f>
        <v>2</v>
      </c>
      <c r="I407" s="8">
        <f>WEEKDAY(Table1[[#This Row],[Date]])</f>
        <v>1</v>
      </c>
      <c r="J407" s="3">
        <f>(Table1[[#This Row],[Credit]]-Table1[[#This Row],[Debit]])</f>
        <v>-5</v>
      </c>
    </row>
    <row r="408" spans="1:10" x14ac:dyDescent="0.25">
      <c r="A408" s="7">
        <v>44606</v>
      </c>
      <c r="B408" s="3" t="s">
        <v>11</v>
      </c>
      <c r="C408" s="3">
        <v>5</v>
      </c>
      <c r="D408" s="3"/>
      <c r="E408" s="3" t="s">
        <v>12</v>
      </c>
      <c r="F408" s="3" t="s">
        <v>13</v>
      </c>
      <c r="G408" s="3" t="s">
        <v>14</v>
      </c>
      <c r="H408" s="3">
        <f>MONTH(Table1[[#This Row],[Date]])</f>
        <v>2</v>
      </c>
      <c r="I408" s="8">
        <f>WEEKDAY(Table1[[#This Row],[Date]])</f>
        <v>2</v>
      </c>
      <c r="J408" s="3">
        <f>(Table1[[#This Row],[Credit]]-Table1[[#This Row],[Debit]])</f>
        <v>-5</v>
      </c>
    </row>
    <row r="409" spans="1:10" x14ac:dyDescent="0.25">
      <c r="A409" s="7">
        <v>44607</v>
      </c>
      <c r="B409" s="3" t="s">
        <v>26</v>
      </c>
      <c r="C409" s="3">
        <v>47.8</v>
      </c>
      <c r="D409" s="3"/>
      <c r="E409" s="3" t="s">
        <v>27</v>
      </c>
      <c r="F409" s="3" t="s">
        <v>28</v>
      </c>
      <c r="G409" s="3" t="s">
        <v>14</v>
      </c>
      <c r="H409" s="3">
        <f>MONTH(Table1[[#This Row],[Date]])</f>
        <v>2</v>
      </c>
      <c r="I409" s="8">
        <f>WEEKDAY(Table1[[#This Row],[Date]])</f>
        <v>3</v>
      </c>
      <c r="J409" s="3">
        <f>(Table1[[#This Row],[Credit]]-Table1[[#This Row],[Debit]])</f>
        <v>-47.8</v>
      </c>
    </row>
    <row r="410" spans="1:10" x14ac:dyDescent="0.25">
      <c r="A410" s="7">
        <v>44608</v>
      </c>
      <c r="B410" s="3" t="s">
        <v>29</v>
      </c>
      <c r="C410" s="3">
        <v>105.80000000000001</v>
      </c>
      <c r="D410" s="3"/>
      <c r="E410" s="3" t="s">
        <v>30</v>
      </c>
      <c r="F410" s="3" t="s">
        <v>28</v>
      </c>
      <c r="G410" s="3" t="s">
        <v>14</v>
      </c>
      <c r="H410" s="3">
        <f>MONTH(Table1[[#This Row],[Date]])</f>
        <v>2</v>
      </c>
      <c r="I410" s="8">
        <f>WEEKDAY(Table1[[#This Row],[Date]])</f>
        <v>4</v>
      </c>
      <c r="J410" s="3">
        <f>(Table1[[#This Row],[Credit]]-Table1[[#This Row],[Debit]])</f>
        <v>-105.80000000000001</v>
      </c>
    </row>
    <row r="411" spans="1:10" x14ac:dyDescent="0.25">
      <c r="A411" s="7">
        <v>44609</v>
      </c>
      <c r="B411" s="3" t="s">
        <v>31</v>
      </c>
      <c r="C411" s="3">
        <v>60.1</v>
      </c>
      <c r="D411" s="3"/>
      <c r="E411" s="3" t="s">
        <v>32</v>
      </c>
      <c r="F411" s="3" t="s">
        <v>13</v>
      </c>
      <c r="G411" s="3" t="s">
        <v>14</v>
      </c>
      <c r="H411" s="3">
        <f>MONTH(Table1[[#This Row],[Date]])</f>
        <v>2</v>
      </c>
      <c r="I411" s="8">
        <f>WEEKDAY(Table1[[#This Row],[Date]])</f>
        <v>5</v>
      </c>
      <c r="J411" s="3">
        <f>(Table1[[#This Row],[Credit]]-Table1[[#This Row],[Debit]])</f>
        <v>-60.1</v>
      </c>
    </row>
    <row r="412" spans="1:10" x14ac:dyDescent="0.25">
      <c r="A412" s="7">
        <v>44610</v>
      </c>
      <c r="B412" s="3" t="s">
        <v>33</v>
      </c>
      <c r="C412" s="3">
        <v>36.200000000000003</v>
      </c>
      <c r="D412" s="3"/>
      <c r="E412" s="3" t="s">
        <v>34</v>
      </c>
      <c r="F412" s="3" t="s">
        <v>20</v>
      </c>
      <c r="G412" s="3" t="s">
        <v>14</v>
      </c>
      <c r="H412" s="3">
        <f>MONTH(Table1[[#This Row],[Date]])</f>
        <v>2</v>
      </c>
      <c r="I412" s="8">
        <f>WEEKDAY(Table1[[#This Row],[Date]])</f>
        <v>6</v>
      </c>
      <c r="J412" s="3">
        <f>(Table1[[#This Row],[Credit]]-Table1[[#This Row],[Debit]])</f>
        <v>-36.200000000000003</v>
      </c>
    </row>
    <row r="413" spans="1:10" x14ac:dyDescent="0.25">
      <c r="A413" s="7">
        <v>44611</v>
      </c>
      <c r="B413" s="3" t="s">
        <v>35</v>
      </c>
      <c r="C413" s="3"/>
      <c r="D413" s="3">
        <v>100</v>
      </c>
      <c r="E413" s="3" t="s">
        <v>36</v>
      </c>
      <c r="F413" s="3" t="s">
        <v>37</v>
      </c>
      <c r="G413" s="3" t="s">
        <v>10</v>
      </c>
      <c r="H413" s="3">
        <f>MONTH(Table1[[#This Row],[Date]])</f>
        <v>2</v>
      </c>
      <c r="I413" s="8">
        <f>WEEKDAY(Table1[[#This Row],[Date]])</f>
        <v>7</v>
      </c>
      <c r="J413" s="3">
        <f>(Table1[[#This Row],[Credit]]-Table1[[#This Row],[Debit]])</f>
        <v>100</v>
      </c>
    </row>
    <row r="414" spans="1:10" x14ac:dyDescent="0.25">
      <c r="A414" s="7">
        <v>44612</v>
      </c>
      <c r="B414" s="3" t="s">
        <v>11</v>
      </c>
      <c r="C414" s="3">
        <v>5</v>
      </c>
      <c r="D414" s="3"/>
      <c r="E414" s="3" t="s">
        <v>12</v>
      </c>
      <c r="F414" s="3" t="s">
        <v>13</v>
      </c>
      <c r="G414" s="3" t="s">
        <v>14</v>
      </c>
      <c r="H414" s="3">
        <f>MONTH(Table1[[#This Row],[Date]])</f>
        <v>2</v>
      </c>
      <c r="I414" s="8">
        <f>WEEKDAY(Table1[[#This Row],[Date]])</f>
        <v>1</v>
      </c>
      <c r="J414" s="3">
        <f>(Table1[[#This Row],[Credit]]-Table1[[#This Row],[Debit]])</f>
        <v>-5</v>
      </c>
    </row>
    <row r="415" spans="1:10" x14ac:dyDescent="0.25">
      <c r="A415" s="7">
        <v>44613</v>
      </c>
      <c r="B415" s="3" t="s">
        <v>11</v>
      </c>
      <c r="C415" s="3">
        <v>5</v>
      </c>
      <c r="D415" s="3"/>
      <c r="E415" s="3" t="s">
        <v>12</v>
      </c>
      <c r="F415" s="3" t="s">
        <v>13</v>
      </c>
      <c r="G415" s="3" t="s">
        <v>14</v>
      </c>
      <c r="H415" s="3">
        <f>MONTH(Table1[[#This Row],[Date]])</f>
        <v>2</v>
      </c>
      <c r="I415" s="8">
        <f>WEEKDAY(Table1[[#This Row],[Date]])</f>
        <v>2</v>
      </c>
      <c r="J415" s="3">
        <f>(Table1[[#This Row],[Credit]]-Table1[[#This Row],[Debit]])</f>
        <v>-5</v>
      </c>
    </row>
    <row r="416" spans="1:10" x14ac:dyDescent="0.25">
      <c r="A416" s="7">
        <v>44614</v>
      </c>
      <c r="B416" s="3" t="s">
        <v>39</v>
      </c>
      <c r="C416" s="3">
        <v>40</v>
      </c>
      <c r="D416" s="3"/>
      <c r="E416" s="3" t="s">
        <v>39</v>
      </c>
      <c r="F416" s="3" t="s">
        <v>17</v>
      </c>
      <c r="G416" s="3" t="s">
        <v>14</v>
      </c>
      <c r="H416" s="3">
        <f>MONTH(Table1[[#This Row],[Date]])</f>
        <v>2</v>
      </c>
      <c r="I416" s="8">
        <f>WEEKDAY(Table1[[#This Row],[Date]])</f>
        <v>3</v>
      </c>
      <c r="J416" s="3">
        <f>(Table1[[#This Row],[Credit]]-Table1[[#This Row],[Debit]])</f>
        <v>-40</v>
      </c>
    </row>
    <row r="417" spans="1:10" x14ac:dyDescent="0.25">
      <c r="A417" s="7">
        <v>44615</v>
      </c>
      <c r="B417" s="3" t="s">
        <v>40</v>
      </c>
      <c r="C417" s="3">
        <v>53</v>
      </c>
      <c r="D417" s="3"/>
      <c r="E417" s="3" t="s">
        <v>41</v>
      </c>
      <c r="F417" s="3" t="s">
        <v>28</v>
      </c>
      <c r="G417" s="3" t="s">
        <v>14</v>
      </c>
      <c r="H417" s="3">
        <f>MONTH(Table1[[#This Row],[Date]])</f>
        <v>2</v>
      </c>
      <c r="I417" s="8">
        <f>WEEKDAY(Table1[[#This Row],[Date]])</f>
        <v>4</v>
      </c>
      <c r="J417" s="3">
        <f>(Table1[[#This Row],[Credit]]-Table1[[#This Row],[Debit]])</f>
        <v>-53</v>
      </c>
    </row>
    <row r="418" spans="1:10" x14ac:dyDescent="0.25">
      <c r="A418" s="7">
        <v>44616</v>
      </c>
      <c r="B418" s="3" t="s">
        <v>42</v>
      </c>
      <c r="C418" s="3">
        <v>35</v>
      </c>
      <c r="D418" s="3"/>
      <c r="E418" s="3" t="s">
        <v>27</v>
      </c>
      <c r="F418" s="3" t="s">
        <v>28</v>
      </c>
      <c r="G418" s="3" t="s">
        <v>14</v>
      </c>
      <c r="H418" s="3">
        <f>MONTH(Table1[[#This Row],[Date]])</f>
        <v>2</v>
      </c>
      <c r="I418" s="8">
        <f>WEEKDAY(Table1[[#This Row],[Date]])</f>
        <v>5</v>
      </c>
      <c r="J418" s="3">
        <f>(Table1[[#This Row],[Credit]]-Table1[[#This Row],[Debit]])</f>
        <v>-35</v>
      </c>
    </row>
    <row r="419" spans="1:10" x14ac:dyDescent="0.25">
      <c r="A419" s="7">
        <v>44617</v>
      </c>
      <c r="B419" s="3" t="s">
        <v>11</v>
      </c>
      <c r="C419" s="3">
        <v>5</v>
      </c>
      <c r="D419" s="3"/>
      <c r="E419" s="3" t="s">
        <v>12</v>
      </c>
      <c r="F419" s="3" t="s">
        <v>13</v>
      </c>
      <c r="G419" s="3" t="s">
        <v>14</v>
      </c>
      <c r="H419" s="3">
        <f>MONTH(Table1[[#This Row],[Date]])</f>
        <v>2</v>
      </c>
      <c r="I419" s="8">
        <f>WEEKDAY(Table1[[#This Row],[Date]])</f>
        <v>6</v>
      </c>
      <c r="J419" s="3">
        <f>(Table1[[#This Row],[Credit]]-Table1[[#This Row],[Debit]])</f>
        <v>-5</v>
      </c>
    </row>
    <row r="420" spans="1:10" x14ac:dyDescent="0.25">
      <c r="A420" s="7">
        <v>44618</v>
      </c>
      <c r="B420" s="3" t="s">
        <v>11</v>
      </c>
      <c r="C420" s="3">
        <v>5</v>
      </c>
      <c r="D420" s="3"/>
      <c r="E420" s="3" t="s">
        <v>12</v>
      </c>
      <c r="F420" s="3" t="s">
        <v>13</v>
      </c>
      <c r="G420" s="3" t="s">
        <v>14</v>
      </c>
      <c r="H420" s="3">
        <f>MONTH(Table1[[#This Row],[Date]])</f>
        <v>2</v>
      </c>
      <c r="I420" s="8">
        <f>WEEKDAY(Table1[[#This Row],[Date]])</f>
        <v>7</v>
      </c>
      <c r="J420" s="3">
        <f>(Table1[[#This Row],[Credit]]-Table1[[#This Row],[Debit]])</f>
        <v>-5</v>
      </c>
    </row>
    <row r="421" spans="1:10" x14ac:dyDescent="0.25">
      <c r="A421" s="7">
        <v>44619</v>
      </c>
      <c r="B421" s="3" t="s">
        <v>11</v>
      </c>
      <c r="C421" s="3">
        <v>5</v>
      </c>
      <c r="D421" s="3"/>
      <c r="E421" s="3" t="s">
        <v>12</v>
      </c>
      <c r="F421" s="3" t="s">
        <v>13</v>
      </c>
      <c r="G421" s="3" t="s">
        <v>14</v>
      </c>
      <c r="H421" s="3">
        <f>MONTH(Table1[[#This Row],[Date]])</f>
        <v>2</v>
      </c>
      <c r="I421" s="8">
        <f>WEEKDAY(Table1[[#This Row],[Date]])</f>
        <v>1</v>
      </c>
      <c r="J421" s="3">
        <f>(Table1[[#This Row],[Credit]]-Table1[[#This Row],[Debit]])</f>
        <v>-5</v>
      </c>
    </row>
    <row r="422" spans="1:10" x14ac:dyDescent="0.25">
      <c r="A422" s="7">
        <v>44620</v>
      </c>
      <c r="B422" s="3" t="s">
        <v>21</v>
      </c>
      <c r="C422" s="3">
        <v>177.9</v>
      </c>
      <c r="D422" s="3"/>
      <c r="E422" s="3" t="s">
        <v>22</v>
      </c>
      <c r="F422" s="3" t="s">
        <v>17</v>
      </c>
      <c r="G422" s="3" t="s">
        <v>14</v>
      </c>
      <c r="H422" s="3">
        <f>MONTH(Table1[[#This Row],[Date]])</f>
        <v>2</v>
      </c>
      <c r="I422" s="8">
        <f>WEEKDAY(Table1[[#This Row],[Date]])</f>
        <v>2</v>
      </c>
      <c r="J422" s="3">
        <f>(Table1[[#This Row],[Credit]]-Table1[[#This Row],[Debit]])</f>
        <v>-177.9</v>
      </c>
    </row>
    <row r="423" spans="1:10" x14ac:dyDescent="0.25">
      <c r="A423" s="7">
        <v>44621</v>
      </c>
      <c r="B423" s="3" t="s">
        <v>43</v>
      </c>
      <c r="C423" s="3">
        <v>45.300000000000004</v>
      </c>
      <c r="D423" s="3"/>
      <c r="E423" s="3" t="s">
        <v>32</v>
      </c>
      <c r="F423" s="3" t="s">
        <v>13</v>
      </c>
      <c r="G423" s="3" t="s">
        <v>14</v>
      </c>
      <c r="H423" s="3">
        <f>MONTH(Table1[[#This Row],[Date]])</f>
        <v>3</v>
      </c>
      <c r="I423" s="8">
        <f>WEEKDAY(Table1[[#This Row],[Date]])</f>
        <v>3</v>
      </c>
      <c r="J423" s="3">
        <f>(Table1[[#This Row],[Credit]]-Table1[[#This Row],[Debit]])</f>
        <v>-45.300000000000004</v>
      </c>
    </row>
    <row r="424" spans="1:10" x14ac:dyDescent="0.25">
      <c r="A424" s="7">
        <v>44622</v>
      </c>
      <c r="B424" s="3" t="s">
        <v>44</v>
      </c>
      <c r="C424" s="3">
        <v>20.099999999999998</v>
      </c>
      <c r="D424" s="3"/>
      <c r="E424" s="3" t="s">
        <v>32</v>
      </c>
      <c r="F424" s="3" t="s">
        <v>13</v>
      </c>
      <c r="G424" s="3" t="s">
        <v>14</v>
      </c>
      <c r="H424" s="3">
        <f>MONTH(Table1[[#This Row],[Date]])</f>
        <v>3</v>
      </c>
      <c r="I424" s="8">
        <f>WEEKDAY(Table1[[#This Row],[Date]])</f>
        <v>4</v>
      </c>
      <c r="J424" s="3">
        <f>(Table1[[#This Row],[Credit]]-Table1[[#This Row],[Debit]])</f>
        <v>-20.099999999999998</v>
      </c>
    </row>
    <row r="425" spans="1:10" x14ac:dyDescent="0.25">
      <c r="A425" s="7">
        <v>44623</v>
      </c>
      <c r="B425" s="3" t="s">
        <v>45</v>
      </c>
      <c r="C425" s="3">
        <v>55</v>
      </c>
      <c r="D425" s="3"/>
      <c r="E425" s="3" t="s">
        <v>46</v>
      </c>
      <c r="F425" s="3" t="s">
        <v>47</v>
      </c>
      <c r="G425" s="3" t="s">
        <v>14</v>
      </c>
      <c r="H425" s="3">
        <f>MONTH(Table1[[#This Row],[Date]])</f>
        <v>3</v>
      </c>
      <c r="I425" s="8">
        <f>WEEKDAY(Table1[[#This Row],[Date]])</f>
        <v>5</v>
      </c>
      <c r="J425" s="3">
        <f>(Table1[[#This Row],[Credit]]-Table1[[#This Row],[Debit]])</f>
        <v>-55</v>
      </c>
    </row>
    <row r="426" spans="1:10" x14ac:dyDescent="0.25">
      <c r="A426" s="7">
        <v>44624</v>
      </c>
      <c r="B426" s="3" t="s">
        <v>25</v>
      </c>
      <c r="C426" s="3">
        <v>70.600000000000023</v>
      </c>
      <c r="D426" s="3"/>
      <c r="E426" s="3" t="s">
        <v>48</v>
      </c>
      <c r="F426" s="3" t="s">
        <v>20</v>
      </c>
      <c r="G426" s="3" t="s">
        <v>14</v>
      </c>
      <c r="H426" s="3">
        <f>MONTH(Table1[[#This Row],[Date]])</f>
        <v>3</v>
      </c>
      <c r="I426" s="8">
        <f>WEEKDAY(Table1[[#This Row],[Date]])</f>
        <v>6</v>
      </c>
      <c r="J426" s="3">
        <f>(Table1[[#This Row],[Credit]]-Table1[[#This Row],[Debit]])</f>
        <v>-70.600000000000023</v>
      </c>
    </row>
    <row r="427" spans="1:10" x14ac:dyDescent="0.25">
      <c r="A427" s="7">
        <v>44625</v>
      </c>
      <c r="B427" s="3" t="s">
        <v>11</v>
      </c>
      <c r="C427" s="3">
        <v>5</v>
      </c>
      <c r="D427" s="3"/>
      <c r="E427" s="3" t="s">
        <v>12</v>
      </c>
      <c r="F427" s="3" t="s">
        <v>13</v>
      </c>
      <c r="G427" s="3" t="s">
        <v>14</v>
      </c>
      <c r="H427" s="3">
        <f>MONTH(Table1[[#This Row],[Date]])</f>
        <v>3</v>
      </c>
      <c r="I427" s="8">
        <f>WEEKDAY(Table1[[#This Row],[Date]])</f>
        <v>7</v>
      </c>
      <c r="J427" s="3">
        <f>(Table1[[#This Row],[Credit]]-Table1[[#This Row],[Debit]])</f>
        <v>-5</v>
      </c>
    </row>
    <row r="428" spans="1:10" x14ac:dyDescent="0.25">
      <c r="A428" s="7">
        <v>44626</v>
      </c>
      <c r="B428" s="3" t="s">
        <v>11</v>
      </c>
      <c r="C428" s="3">
        <v>5</v>
      </c>
      <c r="D428" s="3"/>
      <c r="E428" s="3" t="s">
        <v>12</v>
      </c>
      <c r="F428" s="3" t="s">
        <v>13</v>
      </c>
      <c r="G428" s="3" t="s">
        <v>14</v>
      </c>
      <c r="H428" s="3">
        <f>MONTH(Table1[[#This Row],[Date]])</f>
        <v>3</v>
      </c>
      <c r="I428" s="8">
        <f>WEEKDAY(Table1[[#This Row],[Date]])</f>
        <v>1</v>
      </c>
      <c r="J428" s="3">
        <f>(Table1[[#This Row],[Credit]]-Table1[[#This Row],[Debit]])</f>
        <v>-5</v>
      </c>
    </row>
    <row r="429" spans="1:10" x14ac:dyDescent="0.25">
      <c r="A429" s="7">
        <v>44627</v>
      </c>
      <c r="B429" s="3" t="s">
        <v>11</v>
      </c>
      <c r="C429" s="3">
        <v>5</v>
      </c>
      <c r="D429" s="3"/>
      <c r="E429" s="3" t="s">
        <v>12</v>
      </c>
      <c r="F429" s="3" t="s">
        <v>13</v>
      </c>
      <c r="G429" s="3" t="s">
        <v>14</v>
      </c>
      <c r="H429" s="3">
        <f>MONTH(Table1[[#This Row],[Date]])</f>
        <v>3</v>
      </c>
      <c r="I429" s="8">
        <f>WEEKDAY(Table1[[#This Row],[Date]])</f>
        <v>2</v>
      </c>
      <c r="J429" s="3">
        <f>(Table1[[#This Row],[Credit]]-Table1[[#This Row],[Debit]])</f>
        <v>-5</v>
      </c>
    </row>
    <row r="430" spans="1:10" x14ac:dyDescent="0.25">
      <c r="A430" s="7">
        <v>44628</v>
      </c>
      <c r="B430" s="3" t="s">
        <v>11</v>
      </c>
      <c r="C430" s="3">
        <v>5</v>
      </c>
      <c r="D430" s="3"/>
      <c r="E430" s="3" t="s">
        <v>12</v>
      </c>
      <c r="F430" s="3" t="s">
        <v>13</v>
      </c>
      <c r="G430" s="3" t="s">
        <v>14</v>
      </c>
      <c r="H430" s="3">
        <f>MONTH(Table1[[#This Row],[Date]])</f>
        <v>3</v>
      </c>
      <c r="I430" s="8">
        <f>WEEKDAY(Table1[[#This Row],[Date]])</f>
        <v>3</v>
      </c>
      <c r="J430" s="3">
        <f>(Table1[[#This Row],[Credit]]-Table1[[#This Row],[Debit]])</f>
        <v>-5</v>
      </c>
    </row>
    <row r="431" spans="1:10" x14ac:dyDescent="0.25">
      <c r="A431" s="7">
        <v>44629</v>
      </c>
      <c r="B431" s="3" t="s">
        <v>11</v>
      </c>
      <c r="C431" s="3">
        <v>5</v>
      </c>
      <c r="D431" s="3"/>
      <c r="E431" s="3" t="s">
        <v>12</v>
      </c>
      <c r="F431" s="3" t="s">
        <v>13</v>
      </c>
      <c r="G431" s="3" t="s">
        <v>14</v>
      </c>
      <c r="H431" s="3">
        <f>MONTH(Table1[[#This Row],[Date]])</f>
        <v>3</v>
      </c>
      <c r="I431" s="8">
        <f>WEEKDAY(Table1[[#This Row],[Date]])</f>
        <v>4</v>
      </c>
      <c r="J431" s="3">
        <f>(Table1[[#This Row],[Credit]]-Table1[[#This Row],[Debit]])</f>
        <v>-5</v>
      </c>
    </row>
    <row r="432" spans="1:10" x14ac:dyDescent="0.25">
      <c r="A432" s="7">
        <v>44630</v>
      </c>
      <c r="B432" s="3" t="s">
        <v>21</v>
      </c>
      <c r="C432" s="3">
        <v>223</v>
      </c>
      <c r="D432" s="3"/>
      <c r="E432" s="3" t="s">
        <v>22</v>
      </c>
      <c r="F432" s="3" t="s">
        <v>17</v>
      </c>
      <c r="G432" s="3" t="s">
        <v>14</v>
      </c>
      <c r="H432" s="3">
        <f>MONTH(Table1[[#This Row],[Date]])</f>
        <v>3</v>
      </c>
      <c r="I432" s="8">
        <f>WEEKDAY(Table1[[#This Row],[Date]])</f>
        <v>5</v>
      </c>
      <c r="J432" s="3">
        <f>(Table1[[#This Row],[Credit]]-Table1[[#This Row],[Debit]])</f>
        <v>-223</v>
      </c>
    </row>
    <row r="433" spans="1:10" x14ac:dyDescent="0.25">
      <c r="A433" s="7">
        <v>44631</v>
      </c>
      <c r="B433" s="3" t="s">
        <v>49</v>
      </c>
      <c r="C433" s="3">
        <v>132.9</v>
      </c>
      <c r="D433" s="3"/>
      <c r="E433" s="3" t="s">
        <v>30</v>
      </c>
      <c r="F433" s="3" t="s">
        <v>28</v>
      </c>
      <c r="G433" s="3" t="s">
        <v>14</v>
      </c>
      <c r="H433" s="3">
        <f>MONTH(Table1[[#This Row],[Date]])</f>
        <v>3</v>
      </c>
      <c r="I433" s="8">
        <f>WEEKDAY(Table1[[#This Row],[Date]])</f>
        <v>6</v>
      </c>
      <c r="J433" s="3">
        <f>(Table1[[#This Row],[Credit]]-Table1[[#This Row],[Debit]])</f>
        <v>-132.9</v>
      </c>
    </row>
    <row r="434" spans="1:10" x14ac:dyDescent="0.25">
      <c r="A434" s="7">
        <v>44632</v>
      </c>
      <c r="B434" s="3" t="s">
        <v>51</v>
      </c>
      <c r="C434" s="3">
        <v>175</v>
      </c>
      <c r="D434" s="3"/>
      <c r="E434" s="3" t="s">
        <v>30</v>
      </c>
      <c r="F434" s="3" t="s">
        <v>28</v>
      </c>
      <c r="G434" s="3" t="s">
        <v>14</v>
      </c>
      <c r="H434" s="3">
        <f>MONTH(Table1[[#This Row],[Date]])</f>
        <v>3</v>
      </c>
      <c r="I434" s="8">
        <f>WEEKDAY(Table1[[#This Row],[Date]])</f>
        <v>7</v>
      </c>
      <c r="J434" s="3">
        <f>(Table1[[#This Row],[Credit]]-Table1[[#This Row],[Debit]])</f>
        <v>-175</v>
      </c>
    </row>
    <row r="435" spans="1:10" x14ac:dyDescent="0.25">
      <c r="A435" s="7">
        <v>44633</v>
      </c>
      <c r="B435" s="3" t="s">
        <v>29</v>
      </c>
      <c r="C435" s="3">
        <v>153.39999999999998</v>
      </c>
      <c r="D435" s="3"/>
      <c r="E435" s="3" t="s">
        <v>30</v>
      </c>
      <c r="F435" s="3" t="s">
        <v>28</v>
      </c>
      <c r="G435" s="3" t="s">
        <v>14</v>
      </c>
      <c r="H435" s="3">
        <f>MONTH(Table1[[#This Row],[Date]])</f>
        <v>3</v>
      </c>
      <c r="I435" s="8">
        <f>WEEKDAY(Table1[[#This Row],[Date]])</f>
        <v>1</v>
      </c>
      <c r="J435" s="3">
        <f>(Table1[[#This Row],[Credit]]-Table1[[#This Row],[Debit]])</f>
        <v>-153.39999999999998</v>
      </c>
    </row>
    <row r="436" spans="1:10" x14ac:dyDescent="0.25">
      <c r="A436" s="7">
        <v>44634</v>
      </c>
      <c r="B436" s="3" t="s">
        <v>33</v>
      </c>
      <c r="C436" s="3">
        <v>31.200000000000003</v>
      </c>
      <c r="D436" s="3"/>
      <c r="E436" s="3" t="s">
        <v>34</v>
      </c>
      <c r="F436" s="3" t="s">
        <v>20</v>
      </c>
      <c r="G436" s="3" t="s">
        <v>14</v>
      </c>
      <c r="H436" s="3">
        <f>MONTH(Table1[[#This Row],[Date]])</f>
        <v>3</v>
      </c>
      <c r="I436" s="8">
        <f>WEEKDAY(Table1[[#This Row],[Date]])</f>
        <v>2</v>
      </c>
      <c r="J436" s="3">
        <f>(Table1[[#This Row],[Credit]]-Table1[[#This Row],[Debit]])</f>
        <v>-31.200000000000003</v>
      </c>
    </row>
    <row r="437" spans="1:10" x14ac:dyDescent="0.25">
      <c r="A437" s="7">
        <v>44635</v>
      </c>
      <c r="B437" s="3" t="s">
        <v>56</v>
      </c>
      <c r="C437" s="3">
        <v>15</v>
      </c>
      <c r="D437" s="3"/>
      <c r="E437" s="3" t="s">
        <v>32</v>
      </c>
      <c r="F437" s="3" t="s">
        <v>13</v>
      </c>
      <c r="G437" s="3" t="s">
        <v>14</v>
      </c>
      <c r="H437" s="3">
        <f>MONTH(Table1[[#This Row],[Date]])</f>
        <v>3</v>
      </c>
      <c r="I437" s="8">
        <f>WEEKDAY(Table1[[#This Row],[Date]])</f>
        <v>3</v>
      </c>
      <c r="J437" s="3">
        <f>(Table1[[#This Row],[Credit]]-Table1[[#This Row],[Debit]])</f>
        <v>-15</v>
      </c>
    </row>
    <row r="438" spans="1:10" x14ac:dyDescent="0.25">
      <c r="A438" s="7">
        <v>44636</v>
      </c>
      <c r="B438" s="3" t="s">
        <v>11</v>
      </c>
      <c r="C438" s="3">
        <v>5</v>
      </c>
      <c r="D438" s="3"/>
      <c r="E438" s="3" t="s">
        <v>12</v>
      </c>
      <c r="F438" s="3" t="s">
        <v>13</v>
      </c>
      <c r="G438" s="3" t="s">
        <v>14</v>
      </c>
      <c r="H438" s="3">
        <f>MONTH(Table1[[#This Row],[Date]])</f>
        <v>3</v>
      </c>
      <c r="I438" s="8">
        <f>WEEKDAY(Table1[[#This Row],[Date]])</f>
        <v>4</v>
      </c>
      <c r="J438" s="3">
        <f>(Table1[[#This Row],[Credit]]-Table1[[#This Row],[Debit]])</f>
        <v>-5</v>
      </c>
    </row>
    <row r="439" spans="1:10" x14ac:dyDescent="0.25">
      <c r="A439" s="7">
        <v>44637</v>
      </c>
      <c r="B439" s="3" t="s">
        <v>11</v>
      </c>
      <c r="C439" s="3">
        <v>5</v>
      </c>
      <c r="D439" s="3"/>
      <c r="E439" s="3" t="s">
        <v>12</v>
      </c>
      <c r="F439" s="3" t="s">
        <v>13</v>
      </c>
      <c r="G439" s="3" t="s">
        <v>14</v>
      </c>
      <c r="H439" s="3">
        <f>MONTH(Table1[[#This Row],[Date]])</f>
        <v>3</v>
      </c>
      <c r="I439" s="8">
        <f>WEEKDAY(Table1[[#This Row],[Date]])</f>
        <v>5</v>
      </c>
      <c r="J439" s="3">
        <f>(Table1[[#This Row],[Credit]]-Table1[[#This Row],[Debit]])</f>
        <v>-5</v>
      </c>
    </row>
    <row r="440" spans="1:10" x14ac:dyDescent="0.25">
      <c r="A440" s="7">
        <v>44638</v>
      </c>
      <c r="B440" s="3" t="s">
        <v>7</v>
      </c>
      <c r="C440" s="3"/>
      <c r="D440" s="3">
        <v>5000</v>
      </c>
      <c r="E440" s="3" t="s">
        <v>8</v>
      </c>
      <c r="F440" s="3" t="s">
        <v>9</v>
      </c>
      <c r="G440" s="3" t="s">
        <v>10</v>
      </c>
      <c r="H440" s="3">
        <f>MONTH(Table1[[#This Row],[Date]])</f>
        <v>3</v>
      </c>
      <c r="I440" s="8">
        <f>WEEKDAY(Table1[[#This Row],[Date]])</f>
        <v>6</v>
      </c>
      <c r="J440" s="3">
        <f>(Table1[[#This Row],[Credit]]-Table1[[#This Row],[Debit]])</f>
        <v>5000</v>
      </c>
    </row>
    <row r="441" spans="1:10" x14ac:dyDescent="0.25">
      <c r="A441" s="7">
        <v>44639</v>
      </c>
      <c r="B441" s="3" t="s">
        <v>11</v>
      </c>
      <c r="C441" s="3">
        <v>5</v>
      </c>
      <c r="D441" s="3"/>
      <c r="E441" s="3" t="s">
        <v>12</v>
      </c>
      <c r="F441" s="3" t="s">
        <v>13</v>
      </c>
      <c r="G441" s="3" t="s">
        <v>14</v>
      </c>
      <c r="H441" s="3">
        <f>MONTH(Table1[[#This Row],[Date]])</f>
        <v>3</v>
      </c>
      <c r="I441" s="8">
        <f>WEEKDAY(Table1[[#This Row],[Date]])</f>
        <v>7</v>
      </c>
      <c r="J441" s="3">
        <f>(Table1[[#This Row],[Credit]]-Table1[[#This Row],[Debit]])</f>
        <v>-5</v>
      </c>
    </row>
    <row r="442" spans="1:10" x14ac:dyDescent="0.25">
      <c r="A442" s="7">
        <v>44640</v>
      </c>
      <c r="B442" s="3" t="s">
        <v>15</v>
      </c>
      <c r="C442" s="3">
        <v>900</v>
      </c>
      <c r="D442" s="3"/>
      <c r="E442" s="3" t="s">
        <v>16</v>
      </c>
      <c r="F442" s="3" t="s">
        <v>17</v>
      </c>
      <c r="G442" s="3" t="s">
        <v>14</v>
      </c>
      <c r="H442" s="3">
        <f>MONTH(Table1[[#This Row],[Date]])</f>
        <v>3</v>
      </c>
      <c r="I442" s="8">
        <f>WEEKDAY(Table1[[#This Row],[Date]])</f>
        <v>1</v>
      </c>
      <c r="J442" s="3">
        <f>(Table1[[#This Row],[Credit]]-Table1[[#This Row],[Debit]])</f>
        <v>-900</v>
      </c>
    </row>
    <row r="443" spans="1:10" x14ac:dyDescent="0.25">
      <c r="A443" s="7">
        <v>44641</v>
      </c>
      <c r="B443" s="3" t="s">
        <v>18</v>
      </c>
      <c r="C443" s="3">
        <v>150</v>
      </c>
      <c r="D443" s="3"/>
      <c r="E443" s="3" t="s">
        <v>19</v>
      </c>
      <c r="F443" s="3" t="s">
        <v>20</v>
      </c>
      <c r="G443" s="3" t="s">
        <v>14</v>
      </c>
      <c r="H443" s="3">
        <f>MONTH(Table1[[#This Row],[Date]])</f>
        <v>3</v>
      </c>
      <c r="I443" s="8">
        <f>WEEKDAY(Table1[[#This Row],[Date]])</f>
        <v>2</v>
      </c>
      <c r="J443" s="3">
        <f>(Table1[[#This Row],[Credit]]-Table1[[#This Row],[Debit]])</f>
        <v>-150</v>
      </c>
    </row>
    <row r="444" spans="1:10" x14ac:dyDescent="0.25">
      <c r="A444" s="7">
        <v>44642</v>
      </c>
      <c r="B444" s="3" t="s">
        <v>11</v>
      </c>
      <c r="C444" s="3">
        <v>5</v>
      </c>
      <c r="D444" s="3"/>
      <c r="E444" s="3" t="s">
        <v>12</v>
      </c>
      <c r="F444" s="3" t="s">
        <v>13</v>
      </c>
      <c r="G444" s="3" t="s">
        <v>14</v>
      </c>
      <c r="H444" s="3">
        <f>MONTH(Table1[[#This Row],[Date]])</f>
        <v>3</v>
      </c>
      <c r="I444" s="8">
        <f>WEEKDAY(Table1[[#This Row],[Date]])</f>
        <v>3</v>
      </c>
      <c r="J444" s="3">
        <f>(Table1[[#This Row],[Credit]]-Table1[[#This Row],[Debit]])</f>
        <v>-5</v>
      </c>
    </row>
    <row r="445" spans="1:10" x14ac:dyDescent="0.25">
      <c r="A445" s="7">
        <v>44643</v>
      </c>
      <c r="B445" s="3" t="s">
        <v>11</v>
      </c>
      <c r="C445" s="3">
        <v>5</v>
      </c>
      <c r="D445" s="3"/>
      <c r="E445" s="3" t="s">
        <v>12</v>
      </c>
      <c r="F445" s="3" t="s">
        <v>13</v>
      </c>
      <c r="G445" s="3" t="s">
        <v>14</v>
      </c>
      <c r="H445" s="3">
        <f>MONTH(Table1[[#This Row],[Date]])</f>
        <v>3</v>
      </c>
      <c r="I445" s="8">
        <f>WEEKDAY(Table1[[#This Row],[Date]])</f>
        <v>4</v>
      </c>
      <c r="J445" s="3">
        <f>(Table1[[#This Row],[Credit]]-Table1[[#This Row],[Debit]])</f>
        <v>-5</v>
      </c>
    </row>
    <row r="446" spans="1:10" x14ac:dyDescent="0.25">
      <c r="A446" s="7">
        <v>44644</v>
      </c>
      <c r="B446" s="3" t="s">
        <v>11</v>
      </c>
      <c r="C446" s="3">
        <v>5</v>
      </c>
      <c r="D446" s="3"/>
      <c r="E446" s="3" t="s">
        <v>12</v>
      </c>
      <c r="F446" s="3" t="s">
        <v>13</v>
      </c>
      <c r="G446" s="3" t="s">
        <v>14</v>
      </c>
      <c r="H446" s="3">
        <f>MONTH(Table1[[#This Row],[Date]])</f>
        <v>3</v>
      </c>
      <c r="I446" s="8">
        <f>WEEKDAY(Table1[[#This Row],[Date]])</f>
        <v>5</v>
      </c>
      <c r="J446" s="3">
        <f>(Table1[[#This Row],[Credit]]-Table1[[#This Row],[Debit]])</f>
        <v>-5</v>
      </c>
    </row>
    <row r="447" spans="1:10" x14ac:dyDescent="0.25">
      <c r="A447" s="7">
        <v>44645</v>
      </c>
      <c r="B447" s="3" t="s">
        <v>11</v>
      </c>
      <c r="C447" s="3">
        <v>5</v>
      </c>
      <c r="D447" s="3"/>
      <c r="E447" s="3" t="s">
        <v>12</v>
      </c>
      <c r="F447" s="3" t="s">
        <v>13</v>
      </c>
      <c r="G447" s="3" t="s">
        <v>14</v>
      </c>
      <c r="H447" s="3">
        <f>MONTH(Table1[[#This Row],[Date]])</f>
        <v>3</v>
      </c>
      <c r="I447" s="8">
        <f>WEEKDAY(Table1[[#This Row],[Date]])</f>
        <v>6</v>
      </c>
      <c r="J447" s="3">
        <f>(Table1[[#This Row],[Credit]]-Table1[[#This Row],[Debit]])</f>
        <v>-5</v>
      </c>
    </row>
    <row r="448" spans="1:10" x14ac:dyDescent="0.25">
      <c r="A448" s="7">
        <v>44646</v>
      </c>
      <c r="B448" s="3" t="s">
        <v>21</v>
      </c>
      <c r="C448" s="3">
        <v>105</v>
      </c>
      <c r="D448" s="3"/>
      <c r="E448" s="3" t="s">
        <v>22</v>
      </c>
      <c r="F448" s="3" t="s">
        <v>17</v>
      </c>
      <c r="G448" s="3" t="s">
        <v>14</v>
      </c>
      <c r="H448" s="3">
        <f>MONTH(Table1[[#This Row],[Date]])</f>
        <v>3</v>
      </c>
      <c r="I448" s="8">
        <f>WEEKDAY(Table1[[#This Row],[Date]])</f>
        <v>7</v>
      </c>
      <c r="J448" s="3">
        <f>(Table1[[#This Row],[Credit]]-Table1[[#This Row],[Debit]])</f>
        <v>-105</v>
      </c>
    </row>
    <row r="449" spans="1:10" x14ac:dyDescent="0.25">
      <c r="A449" s="7">
        <v>44647</v>
      </c>
      <c r="B449" s="3" t="s">
        <v>23</v>
      </c>
      <c r="C449" s="3">
        <v>59</v>
      </c>
      <c r="D449" s="3"/>
      <c r="E449" s="3" t="s">
        <v>24</v>
      </c>
      <c r="F449" s="3" t="s">
        <v>17</v>
      </c>
      <c r="G449" s="3" t="s">
        <v>14</v>
      </c>
      <c r="H449" s="3">
        <f>MONTH(Table1[[#This Row],[Date]])</f>
        <v>3</v>
      </c>
      <c r="I449" s="8">
        <f>WEEKDAY(Table1[[#This Row],[Date]])</f>
        <v>1</v>
      </c>
      <c r="J449" s="3">
        <f>(Table1[[#This Row],[Credit]]-Table1[[#This Row],[Debit]])</f>
        <v>-59</v>
      </c>
    </row>
    <row r="450" spans="1:10" x14ac:dyDescent="0.25">
      <c r="A450" s="7">
        <v>44648</v>
      </c>
      <c r="B450" s="3" t="s">
        <v>11</v>
      </c>
      <c r="C450" s="3">
        <v>5</v>
      </c>
      <c r="D450" s="3"/>
      <c r="E450" s="3" t="s">
        <v>12</v>
      </c>
      <c r="F450" s="3" t="s">
        <v>13</v>
      </c>
      <c r="G450" s="3" t="s">
        <v>14</v>
      </c>
      <c r="H450" s="3">
        <f>MONTH(Table1[[#This Row],[Date]])</f>
        <v>3</v>
      </c>
      <c r="I450" s="8">
        <f>WEEKDAY(Table1[[#This Row],[Date]])</f>
        <v>2</v>
      </c>
      <c r="J450" s="3">
        <f>(Table1[[#This Row],[Credit]]-Table1[[#This Row],[Debit]])</f>
        <v>-5</v>
      </c>
    </row>
    <row r="451" spans="1:10" x14ac:dyDescent="0.25">
      <c r="A451" s="7">
        <v>44649</v>
      </c>
      <c r="B451" s="3" t="s">
        <v>11</v>
      </c>
      <c r="C451" s="3">
        <v>5</v>
      </c>
      <c r="D451" s="3"/>
      <c r="E451" s="3" t="s">
        <v>12</v>
      </c>
      <c r="F451" s="3" t="s">
        <v>13</v>
      </c>
      <c r="G451" s="3" t="s">
        <v>14</v>
      </c>
      <c r="H451" s="3">
        <f>MONTH(Table1[[#This Row],[Date]])</f>
        <v>3</v>
      </c>
      <c r="I451" s="8">
        <f>WEEKDAY(Table1[[#This Row],[Date]])</f>
        <v>3</v>
      </c>
      <c r="J451" s="3">
        <f>(Table1[[#This Row],[Credit]]-Table1[[#This Row],[Debit]])</f>
        <v>-5</v>
      </c>
    </row>
    <row r="452" spans="1:10" x14ac:dyDescent="0.25">
      <c r="A452" s="7">
        <v>44650</v>
      </c>
      <c r="B452" s="3" t="s">
        <v>25</v>
      </c>
      <c r="C452" s="3">
        <v>86.399999999999977</v>
      </c>
      <c r="D452" s="3"/>
      <c r="E452" s="3" t="s">
        <v>48</v>
      </c>
      <c r="F452" s="3" t="s">
        <v>20</v>
      </c>
      <c r="G452" s="3" t="s">
        <v>14</v>
      </c>
      <c r="H452" s="3">
        <f>MONTH(Table1[[#This Row],[Date]])</f>
        <v>3</v>
      </c>
      <c r="I452" s="8">
        <f>WEEKDAY(Table1[[#This Row],[Date]])</f>
        <v>4</v>
      </c>
      <c r="J452" s="3">
        <f>(Table1[[#This Row],[Credit]]-Table1[[#This Row],[Debit]])</f>
        <v>-86.399999999999977</v>
      </c>
    </row>
    <row r="453" spans="1:10" x14ac:dyDescent="0.25">
      <c r="A453" s="7">
        <v>44651</v>
      </c>
      <c r="B453" s="3" t="s">
        <v>11</v>
      </c>
      <c r="C453" s="3">
        <v>5</v>
      </c>
      <c r="D453" s="3"/>
      <c r="E453" s="3" t="s">
        <v>12</v>
      </c>
      <c r="F453" s="3" t="s">
        <v>13</v>
      </c>
      <c r="G453" s="3" t="s">
        <v>14</v>
      </c>
      <c r="H453" s="3">
        <f>MONTH(Table1[[#This Row],[Date]])</f>
        <v>3</v>
      </c>
      <c r="I453" s="8">
        <f>WEEKDAY(Table1[[#This Row],[Date]])</f>
        <v>5</v>
      </c>
      <c r="J453" s="3">
        <f>(Table1[[#This Row],[Credit]]-Table1[[#This Row],[Debit]])</f>
        <v>-5</v>
      </c>
    </row>
    <row r="454" spans="1:10" x14ac:dyDescent="0.25">
      <c r="A454" s="7">
        <v>44652</v>
      </c>
      <c r="B454" s="3" t="s">
        <v>11</v>
      </c>
      <c r="C454" s="3">
        <v>5</v>
      </c>
      <c r="D454" s="3"/>
      <c r="E454" s="3" t="s">
        <v>12</v>
      </c>
      <c r="F454" s="3" t="s">
        <v>13</v>
      </c>
      <c r="G454" s="3" t="s">
        <v>14</v>
      </c>
      <c r="H454" s="3">
        <f>MONTH(Table1[[#This Row],[Date]])</f>
        <v>4</v>
      </c>
      <c r="I454" s="8">
        <f>WEEKDAY(Table1[[#This Row],[Date]])</f>
        <v>6</v>
      </c>
      <c r="J454" s="3">
        <f>(Table1[[#This Row],[Credit]]-Table1[[#This Row],[Debit]])</f>
        <v>-5</v>
      </c>
    </row>
    <row r="455" spans="1:10" x14ac:dyDescent="0.25">
      <c r="A455" s="7">
        <v>44653</v>
      </c>
      <c r="B455" s="3" t="s">
        <v>21</v>
      </c>
      <c r="C455" s="3">
        <v>143.9</v>
      </c>
      <c r="D455" s="3"/>
      <c r="E455" s="3" t="s">
        <v>22</v>
      </c>
      <c r="F455" s="3" t="s">
        <v>17</v>
      </c>
      <c r="G455" s="3" t="s">
        <v>14</v>
      </c>
      <c r="H455" s="3">
        <f>MONTH(Table1[[#This Row],[Date]])</f>
        <v>4</v>
      </c>
      <c r="I455" s="8">
        <f>WEEKDAY(Table1[[#This Row],[Date]])</f>
        <v>7</v>
      </c>
      <c r="J455" s="3">
        <f>(Table1[[#This Row],[Credit]]-Table1[[#This Row],[Debit]])</f>
        <v>-143.9</v>
      </c>
    </row>
    <row r="456" spans="1:10" x14ac:dyDescent="0.25">
      <c r="A456" s="7">
        <v>44654</v>
      </c>
      <c r="B456" s="3" t="s">
        <v>11</v>
      </c>
      <c r="C456" s="3">
        <v>5</v>
      </c>
      <c r="D456" s="3"/>
      <c r="E456" s="3" t="s">
        <v>12</v>
      </c>
      <c r="F456" s="3" t="s">
        <v>13</v>
      </c>
      <c r="G456" s="3" t="s">
        <v>14</v>
      </c>
      <c r="H456" s="3">
        <f>MONTH(Table1[[#This Row],[Date]])</f>
        <v>4</v>
      </c>
      <c r="I456" s="8">
        <f>WEEKDAY(Table1[[#This Row],[Date]])</f>
        <v>1</v>
      </c>
      <c r="J456" s="3">
        <f>(Table1[[#This Row],[Credit]]-Table1[[#This Row],[Debit]])</f>
        <v>-5</v>
      </c>
    </row>
    <row r="457" spans="1:10" x14ac:dyDescent="0.25">
      <c r="A457" s="7">
        <v>44655</v>
      </c>
      <c r="B457" s="3" t="s">
        <v>11</v>
      </c>
      <c r="C457" s="3">
        <v>5</v>
      </c>
      <c r="D457" s="3"/>
      <c r="E457" s="3" t="s">
        <v>12</v>
      </c>
      <c r="F457" s="3" t="s">
        <v>13</v>
      </c>
      <c r="G457" s="3" t="s">
        <v>14</v>
      </c>
      <c r="H457" s="3">
        <f>MONTH(Table1[[#This Row],[Date]])</f>
        <v>4</v>
      </c>
      <c r="I457" s="8">
        <f>WEEKDAY(Table1[[#This Row],[Date]])</f>
        <v>2</v>
      </c>
      <c r="J457" s="3">
        <f>(Table1[[#This Row],[Credit]]-Table1[[#This Row],[Debit]])</f>
        <v>-5</v>
      </c>
    </row>
    <row r="458" spans="1:10" x14ac:dyDescent="0.25">
      <c r="A458" s="7">
        <v>44656</v>
      </c>
      <c r="B458" s="3" t="s">
        <v>26</v>
      </c>
      <c r="C458" s="3">
        <v>48.8</v>
      </c>
      <c r="D458" s="3"/>
      <c r="E458" s="3" t="s">
        <v>27</v>
      </c>
      <c r="F458" s="3" t="s">
        <v>28</v>
      </c>
      <c r="G458" s="3" t="s">
        <v>14</v>
      </c>
      <c r="H458" s="3">
        <f>MONTH(Table1[[#This Row],[Date]])</f>
        <v>4</v>
      </c>
      <c r="I458" s="8">
        <f>WEEKDAY(Table1[[#This Row],[Date]])</f>
        <v>3</v>
      </c>
      <c r="J458" s="3">
        <f>(Table1[[#This Row],[Credit]]-Table1[[#This Row],[Debit]])</f>
        <v>-48.8</v>
      </c>
    </row>
    <row r="459" spans="1:10" x14ac:dyDescent="0.25">
      <c r="A459" s="7">
        <v>44657</v>
      </c>
      <c r="B459" s="3" t="s">
        <v>29</v>
      </c>
      <c r="C459" s="3">
        <v>106.70000000000002</v>
      </c>
      <c r="D459" s="3"/>
      <c r="E459" s="3" t="s">
        <v>30</v>
      </c>
      <c r="F459" s="3" t="s">
        <v>28</v>
      </c>
      <c r="G459" s="3" t="s">
        <v>14</v>
      </c>
      <c r="H459" s="3">
        <f>MONTH(Table1[[#This Row],[Date]])</f>
        <v>4</v>
      </c>
      <c r="I459" s="8">
        <f>WEEKDAY(Table1[[#This Row],[Date]])</f>
        <v>4</v>
      </c>
      <c r="J459" s="3">
        <f>(Table1[[#This Row],[Credit]]-Table1[[#This Row],[Debit]])</f>
        <v>-106.70000000000002</v>
      </c>
    </row>
    <row r="460" spans="1:10" x14ac:dyDescent="0.25">
      <c r="A460" s="7">
        <v>44658</v>
      </c>
      <c r="B460" s="3" t="s">
        <v>31</v>
      </c>
      <c r="C460" s="3">
        <v>61.1</v>
      </c>
      <c r="D460" s="3"/>
      <c r="E460" s="3" t="s">
        <v>32</v>
      </c>
      <c r="F460" s="3" t="s">
        <v>13</v>
      </c>
      <c r="G460" s="3" t="s">
        <v>14</v>
      </c>
      <c r="H460" s="3">
        <f>MONTH(Table1[[#This Row],[Date]])</f>
        <v>4</v>
      </c>
      <c r="I460" s="8">
        <f>WEEKDAY(Table1[[#This Row],[Date]])</f>
        <v>5</v>
      </c>
      <c r="J460" s="3">
        <f>(Table1[[#This Row],[Credit]]-Table1[[#This Row],[Debit]])</f>
        <v>-61.1</v>
      </c>
    </row>
    <row r="461" spans="1:10" x14ac:dyDescent="0.25">
      <c r="A461" s="7">
        <v>44659</v>
      </c>
      <c r="B461" s="3" t="s">
        <v>33</v>
      </c>
      <c r="C461" s="3">
        <v>37.200000000000003</v>
      </c>
      <c r="D461" s="3"/>
      <c r="E461" s="3" t="s">
        <v>34</v>
      </c>
      <c r="F461" s="3" t="s">
        <v>20</v>
      </c>
      <c r="G461" s="3" t="s">
        <v>14</v>
      </c>
      <c r="H461" s="3">
        <f>MONTH(Table1[[#This Row],[Date]])</f>
        <v>4</v>
      </c>
      <c r="I461" s="8">
        <f>WEEKDAY(Table1[[#This Row],[Date]])</f>
        <v>6</v>
      </c>
      <c r="J461" s="3">
        <f>(Table1[[#This Row],[Credit]]-Table1[[#This Row],[Debit]])</f>
        <v>-37.200000000000003</v>
      </c>
    </row>
    <row r="462" spans="1:10" x14ac:dyDescent="0.25">
      <c r="A462" s="7">
        <v>44660</v>
      </c>
      <c r="B462" s="3" t="s">
        <v>35</v>
      </c>
      <c r="C462" s="3"/>
      <c r="D462" s="3">
        <v>100</v>
      </c>
      <c r="E462" s="3" t="s">
        <v>36</v>
      </c>
      <c r="F462" s="3" t="s">
        <v>37</v>
      </c>
      <c r="G462" s="3" t="s">
        <v>10</v>
      </c>
      <c r="H462" s="3">
        <f>MONTH(Table1[[#This Row],[Date]])</f>
        <v>4</v>
      </c>
      <c r="I462" s="8">
        <f>WEEKDAY(Table1[[#This Row],[Date]])</f>
        <v>7</v>
      </c>
      <c r="J462" s="3">
        <f>(Table1[[#This Row],[Credit]]-Table1[[#This Row],[Debit]])</f>
        <v>100</v>
      </c>
    </row>
    <row r="463" spans="1:10" x14ac:dyDescent="0.25">
      <c r="A463" s="7">
        <v>44661</v>
      </c>
      <c r="B463" s="3" t="s">
        <v>11</v>
      </c>
      <c r="C463" s="3">
        <v>5</v>
      </c>
      <c r="D463" s="3"/>
      <c r="E463" s="3" t="s">
        <v>12</v>
      </c>
      <c r="F463" s="3" t="s">
        <v>13</v>
      </c>
      <c r="G463" s="3" t="s">
        <v>14</v>
      </c>
      <c r="H463" s="3">
        <f>MONTH(Table1[[#This Row],[Date]])</f>
        <v>4</v>
      </c>
      <c r="I463" s="8">
        <f>WEEKDAY(Table1[[#This Row],[Date]])</f>
        <v>1</v>
      </c>
      <c r="J463" s="3">
        <f>(Table1[[#This Row],[Credit]]-Table1[[#This Row],[Debit]])</f>
        <v>-5</v>
      </c>
    </row>
    <row r="464" spans="1:10" x14ac:dyDescent="0.25">
      <c r="A464" s="7">
        <v>44662</v>
      </c>
      <c r="B464" s="3" t="s">
        <v>11</v>
      </c>
      <c r="C464" s="3">
        <v>5</v>
      </c>
      <c r="D464" s="3"/>
      <c r="E464" s="3" t="s">
        <v>12</v>
      </c>
      <c r="F464" s="3" t="s">
        <v>13</v>
      </c>
      <c r="G464" s="3" t="s">
        <v>14</v>
      </c>
      <c r="H464" s="3">
        <f>MONTH(Table1[[#This Row],[Date]])</f>
        <v>4</v>
      </c>
      <c r="I464" s="8">
        <f>WEEKDAY(Table1[[#This Row],[Date]])</f>
        <v>2</v>
      </c>
      <c r="J464" s="3">
        <f>(Table1[[#This Row],[Credit]]-Table1[[#This Row],[Debit]])</f>
        <v>-5</v>
      </c>
    </row>
    <row r="465" spans="1:10" x14ac:dyDescent="0.25">
      <c r="A465" s="7">
        <v>44663</v>
      </c>
      <c r="B465" s="3" t="s">
        <v>52</v>
      </c>
      <c r="C465" s="3">
        <v>75</v>
      </c>
      <c r="D465" s="3"/>
      <c r="E465" s="3" t="s">
        <v>53</v>
      </c>
      <c r="F465" s="3" t="s">
        <v>54</v>
      </c>
      <c r="G465" s="3" t="s">
        <v>14</v>
      </c>
      <c r="H465" s="3">
        <f>MONTH(Table1[[#This Row],[Date]])</f>
        <v>4</v>
      </c>
      <c r="I465" s="8">
        <f>WEEKDAY(Table1[[#This Row],[Date]])</f>
        <v>3</v>
      </c>
      <c r="J465" s="3">
        <f>(Table1[[#This Row],[Credit]]-Table1[[#This Row],[Debit]])</f>
        <v>-75</v>
      </c>
    </row>
    <row r="466" spans="1:10" x14ac:dyDescent="0.25">
      <c r="A466" s="7">
        <v>44664</v>
      </c>
      <c r="B466" s="3" t="s">
        <v>39</v>
      </c>
      <c r="C466" s="3">
        <v>40</v>
      </c>
      <c r="D466" s="3"/>
      <c r="E466" s="3" t="s">
        <v>39</v>
      </c>
      <c r="F466" s="3" t="s">
        <v>17</v>
      </c>
      <c r="G466" s="3" t="s">
        <v>14</v>
      </c>
      <c r="H466" s="3">
        <f>MONTH(Table1[[#This Row],[Date]])</f>
        <v>4</v>
      </c>
      <c r="I466" s="8">
        <f>WEEKDAY(Table1[[#This Row],[Date]])</f>
        <v>4</v>
      </c>
      <c r="J466" s="3">
        <f>(Table1[[#This Row],[Credit]]-Table1[[#This Row],[Debit]])</f>
        <v>-40</v>
      </c>
    </row>
    <row r="467" spans="1:10" x14ac:dyDescent="0.25">
      <c r="A467" s="7">
        <v>44665</v>
      </c>
      <c r="B467" s="3" t="s">
        <v>40</v>
      </c>
      <c r="C467" s="3">
        <v>54.1</v>
      </c>
      <c r="D467" s="3"/>
      <c r="E467" s="3" t="s">
        <v>41</v>
      </c>
      <c r="F467" s="3" t="s">
        <v>28</v>
      </c>
      <c r="G467" s="3" t="s">
        <v>14</v>
      </c>
      <c r="H467" s="3">
        <f>MONTH(Table1[[#This Row],[Date]])</f>
        <v>4</v>
      </c>
      <c r="I467" s="8">
        <f>WEEKDAY(Table1[[#This Row],[Date]])</f>
        <v>5</v>
      </c>
      <c r="J467" s="3">
        <f>(Table1[[#This Row],[Credit]]-Table1[[#This Row],[Debit]])</f>
        <v>-54.1</v>
      </c>
    </row>
    <row r="468" spans="1:10" x14ac:dyDescent="0.25">
      <c r="A468" s="7">
        <v>44666</v>
      </c>
      <c r="B468" s="3" t="s">
        <v>42</v>
      </c>
      <c r="C468" s="3">
        <v>35</v>
      </c>
      <c r="D468" s="3"/>
      <c r="E468" s="3" t="s">
        <v>27</v>
      </c>
      <c r="F468" s="3" t="s">
        <v>28</v>
      </c>
      <c r="G468" s="3" t="s">
        <v>14</v>
      </c>
      <c r="H468" s="3">
        <f>MONTH(Table1[[#This Row],[Date]])</f>
        <v>4</v>
      </c>
      <c r="I468" s="8">
        <f>WEEKDAY(Table1[[#This Row],[Date]])</f>
        <v>6</v>
      </c>
      <c r="J468" s="3">
        <f>(Table1[[#This Row],[Credit]]-Table1[[#This Row],[Debit]])</f>
        <v>-35</v>
      </c>
    </row>
    <row r="469" spans="1:10" x14ac:dyDescent="0.25">
      <c r="A469" s="7">
        <v>44667</v>
      </c>
      <c r="B469" s="3" t="s">
        <v>11</v>
      </c>
      <c r="C469" s="3">
        <v>5</v>
      </c>
      <c r="D469" s="3"/>
      <c r="E469" s="3" t="s">
        <v>12</v>
      </c>
      <c r="F469" s="3" t="s">
        <v>13</v>
      </c>
      <c r="G469" s="3" t="s">
        <v>14</v>
      </c>
      <c r="H469" s="3">
        <f>MONTH(Table1[[#This Row],[Date]])</f>
        <v>4</v>
      </c>
      <c r="I469" s="8">
        <f>WEEKDAY(Table1[[#This Row],[Date]])</f>
        <v>7</v>
      </c>
      <c r="J469" s="3">
        <f>(Table1[[#This Row],[Credit]]-Table1[[#This Row],[Debit]])</f>
        <v>-5</v>
      </c>
    </row>
    <row r="470" spans="1:10" x14ac:dyDescent="0.25">
      <c r="A470" s="7">
        <v>44668</v>
      </c>
      <c r="B470" s="3" t="s">
        <v>11</v>
      </c>
      <c r="C470" s="3">
        <v>5</v>
      </c>
      <c r="D470" s="3"/>
      <c r="E470" s="3" t="s">
        <v>12</v>
      </c>
      <c r="F470" s="3" t="s">
        <v>13</v>
      </c>
      <c r="G470" s="3" t="s">
        <v>14</v>
      </c>
      <c r="H470" s="3">
        <f>MONTH(Table1[[#This Row],[Date]])</f>
        <v>4</v>
      </c>
      <c r="I470" s="8">
        <f>WEEKDAY(Table1[[#This Row],[Date]])</f>
        <v>1</v>
      </c>
      <c r="J470" s="3">
        <f>(Table1[[#This Row],[Credit]]-Table1[[#This Row],[Debit]])</f>
        <v>-5</v>
      </c>
    </row>
    <row r="471" spans="1:10" x14ac:dyDescent="0.25">
      <c r="A471" s="7">
        <v>44669</v>
      </c>
      <c r="B471" s="3" t="s">
        <v>11</v>
      </c>
      <c r="C471" s="3">
        <v>5</v>
      </c>
      <c r="D471" s="3"/>
      <c r="E471" s="3" t="s">
        <v>12</v>
      </c>
      <c r="F471" s="3" t="s">
        <v>13</v>
      </c>
      <c r="G471" s="3" t="s">
        <v>14</v>
      </c>
      <c r="H471" s="3">
        <f>MONTH(Table1[[#This Row],[Date]])</f>
        <v>4</v>
      </c>
      <c r="I471" s="8">
        <f>WEEKDAY(Table1[[#This Row],[Date]])</f>
        <v>2</v>
      </c>
      <c r="J471" s="3">
        <f>(Table1[[#This Row],[Credit]]-Table1[[#This Row],[Debit]])</f>
        <v>-5</v>
      </c>
    </row>
    <row r="472" spans="1:10" x14ac:dyDescent="0.25">
      <c r="A472" s="7">
        <v>44670</v>
      </c>
      <c r="B472" s="3" t="s">
        <v>21</v>
      </c>
      <c r="C472" s="3">
        <v>178.9</v>
      </c>
      <c r="D472" s="3"/>
      <c r="E472" s="3" t="s">
        <v>22</v>
      </c>
      <c r="F472" s="3" t="s">
        <v>17</v>
      </c>
      <c r="G472" s="3" t="s">
        <v>14</v>
      </c>
      <c r="H472" s="3">
        <f>MONTH(Table1[[#This Row],[Date]])</f>
        <v>4</v>
      </c>
      <c r="I472" s="8">
        <f>WEEKDAY(Table1[[#This Row],[Date]])</f>
        <v>3</v>
      </c>
      <c r="J472" s="3">
        <f>(Table1[[#This Row],[Credit]]-Table1[[#This Row],[Debit]])</f>
        <v>-178.9</v>
      </c>
    </row>
    <row r="473" spans="1:10" x14ac:dyDescent="0.25">
      <c r="A473" s="7">
        <v>44671</v>
      </c>
      <c r="B473" s="3" t="s">
        <v>43</v>
      </c>
      <c r="C473" s="3">
        <v>46.2</v>
      </c>
      <c r="D473" s="3"/>
      <c r="E473" s="3" t="s">
        <v>32</v>
      </c>
      <c r="F473" s="3" t="s">
        <v>13</v>
      </c>
      <c r="G473" s="3" t="s">
        <v>14</v>
      </c>
      <c r="H473" s="3">
        <f>MONTH(Table1[[#This Row],[Date]])</f>
        <v>4</v>
      </c>
      <c r="I473" s="8">
        <f>WEEKDAY(Table1[[#This Row],[Date]])</f>
        <v>4</v>
      </c>
      <c r="J473" s="3">
        <f>(Table1[[#This Row],[Credit]]-Table1[[#This Row],[Debit]])</f>
        <v>-46.2</v>
      </c>
    </row>
    <row r="474" spans="1:10" x14ac:dyDescent="0.25">
      <c r="A474" s="7">
        <v>44672</v>
      </c>
      <c r="B474" s="3" t="s">
        <v>44</v>
      </c>
      <c r="C474" s="3">
        <v>21.099999999999998</v>
      </c>
      <c r="D474" s="3"/>
      <c r="E474" s="3" t="s">
        <v>32</v>
      </c>
      <c r="F474" s="3" t="s">
        <v>13</v>
      </c>
      <c r="G474" s="3" t="s">
        <v>14</v>
      </c>
      <c r="H474" s="3">
        <f>MONTH(Table1[[#This Row],[Date]])</f>
        <v>4</v>
      </c>
      <c r="I474" s="8">
        <f>WEEKDAY(Table1[[#This Row],[Date]])</f>
        <v>5</v>
      </c>
      <c r="J474" s="3">
        <f>(Table1[[#This Row],[Credit]]-Table1[[#This Row],[Debit]])</f>
        <v>-21.099999999999998</v>
      </c>
    </row>
    <row r="475" spans="1:10" x14ac:dyDescent="0.25">
      <c r="A475" s="7">
        <v>44673</v>
      </c>
      <c r="B475" s="3" t="s">
        <v>45</v>
      </c>
      <c r="C475" s="3">
        <v>55</v>
      </c>
      <c r="D475" s="3"/>
      <c r="E475" s="3" t="s">
        <v>46</v>
      </c>
      <c r="F475" s="3" t="s">
        <v>47</v>
      </c>
      <c r="G475" s="3" t="s">
        <v>14</v>
      </c>
      <c r="H475" s="3">
        <f>MONTH(Table1[[#This Row],[Date]])</f>
        <v>4</v>
      </c>
      <c r="I475" s="8">
        <f>WEEKDAY(Table1[[#This Row],[Date]])</f>
        <v>6</v>
      </c>
      <c r="J475" s="3">
        <f>(Table1[[#This Row],[Credit]]-Table1[[#This Row],[Debit]])</f>
        <v>-55</v>
      </c>
    </row>
    <row r="476" spans="1:10" x14ac:dyDescent="0.25">
      <c r="A476" s="7">
        <v>44674</v>
      </c>
      <c r="B476" s="3" t="s">
        <v>25</v>
      </c>
      <c r="C476" s="3">
        <v>71.500000000000028</v>
      </c>
      <c r="D476" s="3"/>
      <c r="E476" s="3" t="s">
        <v>48</v>
      </c>
      <c r="F476" s="3" t="s">
        <v>20</v>
      </c>
      <c r="G476" s="3" t="s">
        <v>14</v>
      </c>
      <c r="H476" s="3">
        <f>MONTH(Table1[[#This Row],[Date]])</f>
        <v>4</v>
      </c>
      <c r="I476" s="8">
        <f>WEEKDAY(Table1[[#This Row],[Date]])</f>
        <v>7</v>
      </c>
      <c r="J476" s="3">
        <f>(Table1[[#This Row],[Credit]]-Table1[[#This Row],[Debit]])</f>
        <v>-71.500000000000028</v>
      </c>
    </row>
    <row r="477" spans="1:10" x14ac:dyDescent="0.25">
      <c r="A477" s="7">
        <v>44675</v>
      </c>
      <c r="B477" s="3" t="s">
        <v>11</v>
      </c>
      <c r="C477" s="3">
        <v>5</v>
      </c>
      <c r="D477" s="3"/>
      <c r="E477" s="3" t="s">
        <v>12</v>
      </c>
      <c r="F477" s="3" t="s">
        <v>13</v>
      </c>
      <c r="G477" s="3" t="s">
        <v>14</v>
      </c>
      <c r="H477" s="3">
        <f>MONTH(Table1[[#This Row],[Date]])</f>
        <v>4</v>
      </c>
      <c r="I477" s="8">
        <f>WEEKDAY(Table1[[#This Row],[Date]])</f>
        <v>1</v>
      </c>
      <c r="J477" s="3">
        <f>(Table1[[#This Row],[Credit]]-Table1[[#This Row],[Debit]])</f>
        <v>-5</v>
      </c>
    </row>
    <row r="478" spans="1:10" x14ac:dyDescent="0.25">
      <c r="A478" s="7">
        <v>44676</v>
      </c>
      <c r="B478" s="3" t="s">
        <v>11</v>
      </c>
      <c r="C478" s="3">
        <v>5</v>
      </c>
      <c r="D478" s="3"/>
      <c r="E478" s="3" t="s">
        <v>12</v>
      </c>
      <c r="F478" s="3" t="s">
        <v>13</v>
      </c>
      <c r="G478" s="3" t="s">
        <v>14</v>
      </c>
      <c r="H478" s="3">
        <f>MONTH(Table1[[#This Row],[Date]])</f>
        <v>4</v>
      </c>
      <c r="I478" s="8">
        <f>WEEKDAY(Table1[[#This Row],[Date]])</f>
        <v>2</v>
      </c>
      <c r="J478" s="3">
        <f>(Table1[[#This Row],[Credit]]-Table1[[#This Row],[Debit]])</f>
        <v>-5</v>
      </c>
    </row>
    <row r="479" spans="1:10" x14ac:dyDescent="0.25">
      <c r="A479" s="7">
        <v>44677</v>
      </c>
      <c r="B479" s="3" t="s">
        <v>11</v>
      </c>
      <c r="C479" s="3">
        <v>5</v>
      </c>
      <c r="D479" s="3"/>
      <c r="E479" s="3" t="s">
        <v>12</v>
      </c>
      <c r="F479" s="3" t="s">
        <v>13</v>
      </c>
      <c r="G479" s="3" t="s">
        <v>14</v>
      </c>
      <c r="H479" s="3">
        <f>MONTH(Table1[[#This Row],[Date]])</f>
        <v>4</v>
      </c>
      <c r="I479" s="8">
        <f>WEEKDAY(Table1[[#This Row],[Date]])</f>
        <v>3</v>
      </c>
      <c r="J479" s="3">
        <f>(Table1[[#This Row],[Credit]]-Table1[[#This Row],[Debit]])</f>
        <v>-5</v>
      </c>
    </row>
    <row r="480" spans="1:10" x14ac:dyDescent="0.25">
      <c r="A480" s="7">
        <v>44678</v>
      </c>
      <c r="B480" s="3" t="s">
        <v>11</v>
      </c>
      <c r="C480" s="3">
        <v>5</v>
      </c>
      <c r="D480" s="3"/>
      <c r="E480" s="3" t="s">
        <v>12</v>
      </c>
      <c r="F480" s="3" t="s">
        <v>13</v>
      </c>
      <c r="G480" s="3" t="s">
        <v>14</v>
      </c>
      <c r="H480" s="3">
        <f>MONTH(Table1[[#This Row],[Date]])</f>
        <v>4</v>
      </c>
      <c r="I480" s="8">
        <f>WEEKDAY(Table1[[#This Row],[Date]])</f>
        <v>4</v>
      </c>
      <c r="J480" s="3">
        <f>(Table1[[#This Row],[Credit]]-Table1[[#This Row],[Debit]])</f>
        <v>-5</v>
      </c>
    </row>
    <row r="481" spans="1:10" x14ac:dyDescent="0.25">
      <c r="A481" s="7">
        <v>44679</v>
      </c>
      <c r="B481" s="3" t="s">
        <v>11</v>
      </c>
      <c r="C481" s="3">
        <v>5</v>
      </c>
      <c r="D481" s="3"/>
      <c r="E481" s="3" t="s">
        <v>12</v>
      </c>
      <c r="F481" s="3" t="s">
        <v>13</v>
      </c>
      <c r="G481" s="3" t="s">
        <v>14</v>
      </c>
      <c r="H481" s="3">
        <f>MONTH(Table1[[#This Row],[Date]])</f>
        <v>4</v>
      </c>
      <c r="I481" s="8">
        <f>WEEKDAY(Table1[[#This Row],[Date]])</f>
        <v>5</v>
      </c>
      <c r="J481" s="3">
        <f>(Table1[[#This Row],[Credit]]-Table1[[#This Row],[Debit]])</f>
        <v>-5</v>
      </c>
    </row>
    <row r="482" spans="1:10" x14ac:dyDescent="0.25">
      <c r="A482" s="7">
        <v>44680</v>
      </c>
      <c r="B482" s="3" t="s">
        <v>21</v>
      </c>
      <c r="C482" s="3">
        <v>189</v>
      </c>
      <c r="D482" s="3"/>
      <c r="E482" s="3" t="s">
        <v>22</v>
      </c>
      <c r="F482" s="3" t="s">
        <v>17</v>
      </c>
      <c r="G482" s="3" t="s">
        <v>14</v>
      </c>
      <c r="H482" s="3">
        <f>MONTH(Table1[[#This Row],[Date]])</f>
        <v>4</v>
      </c>
      <c r="I482" s="8">
        <f>WEEKDAY(Table1[[#This Row],[Date]])</f>
        <v>6</v>
      </c>
      <c r="J482" s="3">
        <f>(Table1[[#This Row],[Credit]]-Table1[[#This Row],[Debit]])</f>
        <v>-189</v>
      </c>
    </row>
    <row r="483" spans="1:10" x14ac:dyDescent="0.25">
      <c r="A483" s="7">
        <v>44681</v>
      </c>
      <c r="B483" s="3" t="s">
        <v>49</v>
      </c>
      <c r="C483" s="3">
        <v>133.80000000000001</v>
      </c>
      <c r="D483" s="3"/>
      <c r="E483" s="3" t="s">
        <v>30</v>
      </c>
      <c r="F483" s="3" t="s">
        <v>28</v>
      </c>
      <c r="G483" s="3" t="s">
        <v>14</v>
      </c>
      <c r="H483" s="3">
        <f>MONTH(Table1[[#This Row],[Date]])</f>
        <v>4</v>
      </c>
      <c r="I483" s="8">
        <f>WEEKDAY(Table1[[#This Row],[Date]])</f>
        <v>7</v>
      </c>
      <c r="J483" s="3">
        <f>(Table1[[#This Row],[Credit]]-Table1[[#This Row],[Debit]])</f>
        <v>-133.80000000000001</v>
      </c>
    </row>
    <row r="484" spans="1:10" x14ac:dyDescent="0.25">
      <c r="A484" s="7">
        <v>44682</v>
      </c>
      <c r="B484" s="3" t="s">
        <v>50</v>
      </c>
      <c r="C484" s="3">
        <v>184.39999999999998</v>
      </c>
      <c r="D484" s="3"/>
      <c r="E484" s="3" t="s">
        <v>27</v>
      </c>
      <c r="F484" s="3" t="s">
        <v>28</v>
      </c>
      <c r="G484" s="3" t="s">
        <v>14</v>
      </c>
      <c r="H484" s="3">
        <f>MONTH(Table1[[#This Row],[Date]])</f>
        <v>5</v>
      </c>
      <c r="I484" s="8">
        <f>WEEKDAY(Table1[[#This Row],[Date]])</f>
        <v>1</v>
      </c>
      <c r="J484" s="3">
        <f>(Table1[[#This Row],[Credit]]-Table1[[#This Row],[Debit]])</f>
        <v>-184.39999999999998</v>
      </c>
    </row>
    <row r="485" spans="1:10" x14ac:dyDescent="0.25">
      <c r="A485" s="7">
        <v>44683</v>
      </c>
      <c r="B485" s="3" t="s">
        <v>29</v>
      </c>
      <c r="C485" s="3">
        <v>154.49999999999997</v>
      </c>
      <c r="D485" s="3"/>
      <c r="E485" s="3" t="s">
        <v>30</v>
      </c>
      <c r="F485" s="3" t="s">
        <v>28</v>
      </c>
      <c r="G485" s="3" t="s">
        <v>14</v>
      </c>
      <c r="H485" s="3">
        <f>MONTH(Table1[[#This Row],[Date]])</f>
        <v>5</v>
      </c>
      <c r="I485" s="8">
        <f>WEEKDAY(Table1[[#This Row],[Date]])</f>
        <v>2</v>
      </c>
      <c r="J485" s="3">
        <f>(Table1[[#This Row],[Credit]]-Table1[[#This Row],[Debit]])</f>
        <v>-154.49999999999997</v>
      </c>
    </row>
    <row r="486" spans="1:10" x14ac:dyDescent="0.25">
      <c r="A486" s="7">
        <v>44684</v>
      </c>
      <c r="B486" s="3" t="s">
        <v>33</v>
      </c>
      <c r="C486" s="3">
        <v>32.1</v>
      </c>
      <c r="D486" s="3"/>
      <c r="E486" s="3" t="s">
        <v>34</v>
      </c>
      <c r="F486" s="3" t="s">
        <v>20</v>
      </c>
      <c r="G486" s="3" t="s">
        <v>14</v>
      </c>
      <c r="H486" s="3">
        <f>MONTH(Table1[[#This Row],[Date]])</f>
        <v>5</v>
      </c>
      <c r="I486" s="8">
        <f>WEEKDAY(Table1[[#This Row],[Date]])</f>
        <v>3</v>
      </c>
      <c r="J486" s="3">
        <f>(Table1[[#This Row],[Credit]]-Table1[[#This Row],[Debit]])</f>
        <v>-32.1</v>
      </c>
    </row>
    <row r="487" spans="1:10" x14ac:dyDescent="0.25">
      <c r="A487" s="7">
        <v>44685</v>
      </c>
      <c r="B487" s="3" t="s">
        <v>56</v>
      </c>
      <c r="C487" s="3">
        <v>15</v>
      </c>
      <c r="D487" s="3"/>
      <c r="E487" s="3" t="s">
        <v>32</v>
      </c>
      <c r="F487" s="3" t="s">
        <v>13</v>
      </c>
      <c r="G487" s="3" t="s">
        <v>14</v>
      </c>
      <c r="H487" s="3">
        <f>MONTH(Table1[[#This Row],[Date]])</f>
        <v>5</v>
      </c>
      <c r="I487" s="8">
        <f>WEEKDAY(Table1[[#This Row],[Date]])</f>
        <v>4</v>
      </c>
      <c r="J487" s="3">
        <f>(Table1[[#This Row],[Credit]]-Table1[[#This Row],[Debit]])</f>
        <v>-15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DF53-554E-4289-A461-F431FB0B2058}">
  <dimension ref="B7:AA40"/>
  <sheetViews>
    <sheetView showGridLines="0" tabSelected="1" zoomScale="36" zoomScaleNormal="69" workbookViewId="0">
      <selection activeCell="R47" sqref="R47"/>
    </sheetView>
  </sheetViews>
  <sheetFormatPr defaultRowHeight="15" x14ac:dyDescent="0.25"/>
  <sheetData>
    <row r="7" spans="3:27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3:27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3:27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3:27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3:27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3:27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3:27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3:27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3:27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3:27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3:27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3:27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3:27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3:27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3:27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3:27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3:27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3:27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3:27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3:27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3:27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3:27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3:27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3:27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3:27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3:27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x14ac:dyDescent="0.25"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x14ac:dyDescent="0.25"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8827-32D7-4D22-8C49-F296FE04213B}">
  <dimension ref="C2:R62"/>
  <sheetViews>
    <sheetView topLeftCell="J29" zoomScale="104" zoomScaleNormal="85" workbookViewId="0">
      <selection activeCell="L48" sqref="L47:L48"/>
    </sheetView>
  </sheetViews>
  <sheetFormatPr defaultRowHeight="15" x14ac:dyDescent="0.25"/>
  <cols>
    <col min="1" max="2" width="9.140625" style="3"/>
    <col min="3" max="3" width="17.42578125" style="3" bestFit="1" customWidth="1"/>
    <col min="4" max="4" width="22.85546875" style="4" bestFit="1" customWidth="1"/>
    <col min="5" max="5" width="19.7109375" style="3" bestFit="1" customWidth="1"/>
    <col min="6" max="10" width="9.140625" style="3"/>
    <col min="11" max="11" width="14.85546875" style="3" bestFit="1" customWidth="1"/>
    <col min="12" max="12" width="14.5703125" style="3" bestFit="1" customWidth="1"/>
    <col min="13" max="13" width="11.5703125" style="3" bestFit="1" customWidth="1"/>
    <col min="14" max="14" width="14.28515625" style="3" bestFit="1" customWidth="1"/>
    <col min="15" max="15" width="14.5703125" style="3" bestFit="1" customWidth="1"/>
    <col min="16" max="16" width="8.85546875" style="3" bestFit="1" customWidth="1"/>
    <col min="17" max="17" width="14.28515625" style="3" bestFit="1" customWidth="1"/>
    <col min="18" max="18" width="15.42578125" style="3" bestFit="1" customWidth="1"/>
    <col min="19" max="16384" width="9.140625" style="3"/>
  </cols>
  <sheetData>
    <row r="2" spans="3:12" x14ac:dyDescent="0.25">
      <c r="C2" s="9" t="s">
        <v>68</v>
      </c>
      <c r="K2" s="9" t="s">
        <v>69</v>
      </c>
    </row>
    <row r="4" spans="3:12" x14ac:dyDescent="0.25">
      <c r="C4" s="5" t="s">
        <v>64</v>
      </c>
      <c r="D4" s="4" t="s">
        <v>66</v>
      </c>
      <c r="K4" s="5" t="s">
        <v>6</v>
      </c>
      <c r="L4" s="3" t="s">
        <v>14</v>
      </c>
    </row>
    <row r="5" spans="3:12" x14ac:dyDescent="0.25">
      <c r="C5" s="6" t="s">
        <v>9</v>
      </c>
      <c r="D5" s="4">
        <v>50000</v>
      </c>
    </row>
    <row r="6" spans="3:12" x14ac:dyDescent="0.25">
      <c r="C6" s="6" t="s">
        <v>37</v>
      </c>
      <c r="D6" s="4">
        <v>15440</v>
      </c>
      <c r="K6" s="5" t="s">
        <v>64</v>
      </c>
      <c r="L6" s="4" t="s">
        <v>67</v>
      </c>
    </row>
    <row r="7" spans="3:12" x14ac:dyDescent="0.25">
      <c r="C7" s="6" t="s">
        <v>54</v>
      </c>
      <c r="D7" s="4">
        <v>-225</v>
      </c>
      <c r="K7" s="6" t="s">
        <v>16</v>
      </c>
      <c r="L7" s="4">
        <v>9000</v>
      </c>
    </row>
    <row r="8" spans="3:12" x14ac:dyDescent="0.25">
      <c r="C8" s="6" t="s">
        <v>47</v>
      </c>
      <c r="D8" s="4">
        <v>-550</v>
      </c>
      <c r="K8" s="6" t="s">
        <v>22</v>
      </c>
      <c r="L8" s="4">
        <v>6454.0999999999995</v>
      </c>
    </row>
    <row r="9" spans="3:12" x14ac:dyDescent="0.25">
      <c r="C9" s="6" t="s">
        <v>13</v>
      </c>
      <c r="D9" s="4">
        <v>-2473.8999999999996</v>
      </c>
      <c r="K9" s="6" t="s">
        <v>30</v>
      </c>
      <c r="L9" s="4">
        <v>4303.6000000000004</v>
      </c>
    </row>
    <row r="10" spans="3:12" x14ac:dyDescent="0.25">
      <c r="C10" s="6" t="s">
        <v>20</v>
      </c>
      <c r="D10" s="4">
        <v>-3514.6999999999994</v>
      </c>
      <c r="K10" s="6" t="s">
        <v>27</v>
      </c>
      <c r="L10" s="4">
        <v>1812.5999999999995</v>
      </c>
    </row>
    <row r="11" spans="3:12" x14ac:dyDescent="0.25">
      <c r="C11" s="6" t="s">
        <v>28</v>
      </c>
      <c r="D11" s="4">
        <v>-7027.6</v>
      </c>
      <c r="K11" s="6" t="s">
        <v>19</v>
      </c>
      <c r="L11" s="4">
        <v>1500</v>
      </c>
    </row>
    <row r="12" spans="3:12" x14ac:dyDescent="0.25">
      <c r="C12" s="6" t="s">
        <v>17</v>
      </c>
      <c r="D12" s="4">
        <v>-16399.800000000003</v>
      </c>
      <c r="K12" s="6" t="s">
        <v>65</v>
      </c>
      <c r="L12" s="4">
        <v>23070.3</v>
      </c>
    </row>
    <row r="13" spans="3:12" x14ac:dyDescent="0.25">
      <c r="C13" s="6" t="s">
        <v>65</v>
      </c>
      <c r="D13" s="4">
        <v>35249</v>
      </c>
    </row>
    <row r="15" spans="3:12" x14ac:dyDescent="0.25">
      <c r="C15" s="9" t="s">
        <v>70</v>
      </c>
      <c r="K15" s="9" t="s">
        <v>73</v>
      </c>
    </row>
    <row r="17" spans="3:18" x14ac:dyDescent="0.25">
      <c r="C17" s="3" t="s">
        <v>67</v>
      </c>
      <c r="D17" s="3" t="s">
        <v>71</v>
      </c>
      <c r="E17" s="3" t="s">
        <v>66</v>
      </c>
      <c r="K17" s="5" t="s">
        <v>6</v>
      </c>
      <c r="L17" s="3" t="s">
        <v>14</v>
      </c>
    </row>
    <row r="18" spans="3:18" x14ac:dyDescent="0.25">
      <c r="C18" s="4">
        <v>30190.999999999993</v>
      </c>
      <c r="D18" s="4">
        <v>65440</v>
      </c>
      <c r="E18" s="4">
        <v>35249.000000000007</v>
      </c>
    </row>
    <row r="19" spans="3:18" x14ac:dyDescent="0.25">
      <c r="K19" s="5" t="s">
        <v>67</v>
      </c>
      <c r="L19" s="5" t="s">
        <v>74</v>
      </c>
    </row>
    <row r="20" spans="3:18" x14ac:dyDescent="0.25">
      <c r="K20" s="5" t="s">
        <v>64</v>
      </c>
      <c r="L20" s="3" t="s">
        <v>47</v>
      </c>
      <c r="M20" s="3" t="s">
        <v>13</v>
      </c>
      <c r="N20" s="3" t="s">
        <v>28</v>
      </c>
      <c r="O20" s="3" t="s">
        <v>17</v>
      </c>
      <c r="P20" s="3" t="s">
        <v>54</v>
      </c>
      <c r="Q20" s="3" t="s">
        <v>20</v>
      </c>
      <c r="R20" s="3" t="s">
        <v>65</v>
      </c>
    </row>
    <row r="21" spans="3:18" x14ac:dyDescent="0.25">
      <c r="C21"/>
      <c r="D21"/>
      <c r="E21"/>
      <c r="K21" s="10">
        <v>1</v>
      </c>
      <c r="L21" s="4"/>
      <c r="M21" s="4">
        <v>254</v>
      </c>
      <c r="N21" s="4">
        <v>1164.4000000000001</v>
      </c>
      <c r="O21" s="4">
        <v>5471</v>
      </c>
      <c r="P21" s="4">
        <v>75</v>
      </c>
      <c r="Q21" s="4">
        <v>351.1</v>
      </c>
      <c r="R21" s="4">
        <v>7315.5</v>
      </c>
    </row>
    <row r="22" spans="3:18" x14ac:dyDescent="0.25">
      <c r="C22"/>
      <c r="D22"/>
      <c r="E22"/>
      <c r="K22" s="10">
        <v>2</v>
      </c>
      <c r="L22" s="4">
        <v>55</v>
      </c>
      <c r="M22" s="4">
        <v>284.10000000000002</v>
      </c>
      <c r="N22" s="4">
        <v>519.20000000000005</v>
      </c>
      <c r="O22" s="4">
        <v>2132</v>
      </c>
      <c r="P22" s="4">
        <v>75</v>
      </c>
      <c r="Q22" s="4">
        <v>1003.1</v>
      </c>
      <c r="R22" s="4">
        <v>4068.4</v>
      </c>
    </row>
    <row r="23" spans="3:18" x14ac:dyDescent="0.25">
      <c r="C23"/>
      <c r="D23"/>
      <c r="E23"/>
      <c r="K23" s="10">
        <v>3</v>
      </c>
      <c r="L23" s="4"/>
      <c r="M23" s="4">
        <v>533.90000000000009</v>
      </c>
      <c r="N23" s="4">
        <v>656.49999999999989</v>
      </c>
      <c r="O23" s="4">
        <v>839.9</v>
      </c>
      <c r="P23" s="4">
        <v>75</v>
      </c>
      <c r="Q23" s="4">
        <v>430.1</v>
      </c>
      <c r="R23" s="4">
        <v>2535.4</v>
      </c>
    </row>
    <row r="24" spans="3:18" x14ac:dyDescent="0.25">
      <c r="C24"/>
      <c r="D24"/>
      <c r="E24"/>
      <c r="K24" s="10">
        <v>4</v>
      </c>
      <c r="L24" s="4">
        <v>110</v>
      </c>
      <c r="M24" s="4">
        <v>455.70000000000005</v>
      </c>
      <c r="N24" s="4">
        <v>1065.1000000000001</v>
      </c>
      <c r="O24" s="4">
        <v>1403.9</v>
      </c>
      <c r="P24" s="4"/>
      <c r="Q24" s="4">
        <v>451.09999999999991</v>
      </c>
      <c r="R24" s="4">
        <v>3485.8</v>
      </c>
    </row>
    <row r="25" spans="3:18" x14ac:dyDescent="0.25">
      <c r="C25"/>
      <c r="D25"/>
      <c r="E25"/>
      <c r="K25" s="10">
        <v>5</v>
      </c>
      <c r="L25" s="4">
        <v>275</v>
      </c>
      <c r="M25" s="4">
        <v>484.20000000000005</v>
      </c>
      <c r="N25" s="4">
        <v>773.9</v>
      </c>
      <c r="O25" s="4">
        <v>1151.7</v>
      </c>
      <c r="P25" s="4"/>
      <c r="Q25" s="4">
        <v>422</v>
      </c>
      <c r="R25" s="4">
        <v>3106.8</v>
      </c>
    </row>
    <row r="26" spans="3:18" x14ac:dyDescent="0.25">
      <c r="C26"/>
      <c r="D26"/>
      <c r="E26"/>
      <c r="K26" s="10">
        <v>6</v>
      </c>
      <c r="L26" s="4">
        <v>110</v>
      </c>
      <c r="M26" s="4">
        <v>188</v>
      </c>
      <c r="N26" s="4">
        <v>1241.5000000000002</v>
      </c>
      <c r="O26" s="4">
        <v>2039.3</v>
      </c>
      <c r="P26" s="4"/>
      <c r="Q26" s="4">
        <v>542.80000000000007</v>
      </c>
      <c r="R26" s="4">
        <v>4121.6000000000004</v>
      </c>
    </row>
    <row r="27" spans="3:18" x14ac:dyDescent="0.25">
      <c r="C27"/>
      <c r="D27"/>
      <c r="E27"/>
      <c r="K27" s="10">
        <v>7</v>
      </c>
      <c r="L27" s="4"/>
      <c r="M27" s="4">
        <v>274</v>
      </c>
      <c r="N27" s="4">
        <v>1607</v>
      </c>
      <c r="O27" s="4">
        <v>3362</v>
      </c>
      <c r="P27" s="4"/>
      <c r="Q27" s="4">
        <v>314.5</v>
      </c>
      <c r="R27" s="4">
        <v>5557.5</v>
      </c>
    </row>
    <row r="28" spans="3:18" x14ac:dyDescent="0.25">
      <c r="K28" s="10" t="s">
        <v>65</v>
      </c>
      <c r="L28" s="4">
        <v>550</v>
      </c>
      <c r="M28" s="4">
        <v>2473.9</v>
      </c>
      <c r="N28" s="4">
        <v>7027.5999999999995</v>
      </c>
      <c r="O28" s="4">
        <v>16399.8</v>
      </c>
      <c r="P28" s="4">
        <v>225</v>
      </c>
      <c r="Q28" s="4">
        <v>3514.7000000000003</v>
      </c>
      <c r="R28" s="4">
        <v>30191</v>
      </c>
    </row>
    <row r="29" spans="3:18" x14ac:dyDescent="0.25">
      <c r="K29"/>
      <c r="L29"/>
    </row>
    <row r="30" spans="3:18" x14ac:dyDescent="0.25">
      <c r="K30"/>
      <c r="L30"/>
    </row>
    <row r="31" spans="3:18" x14ac:dyDescent="0.25">
      <c r="C31" s="9" t="s">
        <v>72</v>
      </c>
      <c r="D31"/>
      <c r="E31"/>
      <c r="K31" s="9" t="s">
        <v>75</v>
      </c>
      <c r="N31" s="9" t="s">
        <v>76</v>
      </c>
    </row>
    <row r="32" spans="3:18" x14ac:dyDescent="0.25">
      <c r="C32"/>
      <c r="D32"/>
      <c r="E32"/>
    </row>
    <row r="33" spans="3:18" x14ac:dyDescent="0.25">
      <c r="C33" s="5" t="s">
        <v>6</v>
      </c>
      <c r="D33" s="3" t="s">
        <v>10</v>
      </c>
      <c r="E33"/>
      <c r="K33" s="5" t="s">
        <v>6</v>
      </c>
      <c r="L33" s="3" t="s">
        <v>14</v>
      </c>
      <c r="N33" s="5" t="s">
        <v>64</v>
      </c>
      <c r="O33" s="4" t="s">
        <v>67</v>
      </c>
      <c r="Q33" s="5" t="s">
        <v>64</v>
      </c>
      <c r="R33" s="4" t="s">
        <v>71</v>
      </c>
    </row>
    <row r="34" spans="3:18" x14ac:dyDescent="0.25">
      <c r="D34" s="3"/>
      <c r="E34"/>
      <c r="K34"/>
      <c r="L34"/>
      <c r="N34" s="6">
        <v>1</v>
      </c>
      <c r="O34" s="4">
        <v>4071.1</v>
      </c>
      <c r="Q34" s="6">
        <v>1</v>
      </c>
      <c r="R34" s="4">
        <v>19800</v>
      </c>
    </row>
    <row r="35" spans="3:18" x14ac:dyDescent="0.25">
      <c r="C35" s="5" t="s">
        <v>64</v>
      </c>
      <c r="D35" s="4" t="s">
        <v>71</v>
      </c>
      <c r="E35"/>
      <c r="K35" s="5" t="s">
        <v>64</v>
      </c>
      <c r="L35" s="4" t="s">
        <v>67</v>
      </c>
      <c r="N35" s="6">
        <v>2</v>
      </c>
      <c r="O35" s="4">
        <v>3399.6000000000004</v>
      </c>
      <c r="Q35" s="6">
        <v>2</v>
      </c>
      <c r="R35" s="4">
        <v>5100</v>
      </c>
    </row>
    <row r="36" spans="3:18" x14ac:dyDescent="0.25">
      <c r="C36" s="6" t="s">
        <v>8</v>
      </c>
      <c r="D36" s="4">
        <v>50000</v>
      </c>
      <c r="E36"/>
      <c r="K36" s="6" t="s">
        <v>47</v>
      </c>
      <c r="L36" s="4">
        <v>550</v>
      </c>
      <c r="N36" s="6">
        <v>3</v>
      </c>
      <c r="O36" s="4">
        <v>3320.5000000000005</v>
      </c>
      <c r="Q36" s="6">
        <v>3</v>
      </c>
      <c r="R36" s="4">
        <v>5800</v>
      </c>
    </row>
    <row r="37" spans="3:18" x14ac:dyDescent="0.25">
      <c r="C37" s="6" t="s">
        <v>38</v>
      </c>
      <c r="D37" s="4">
        <v>4500</v>
      </c>
      <c r="E37"/>
      <c r="K37" s="6" t="s">
        <v>13</v>
      </c>
      <c r="L37" s="4">
        <v>2473.9</v>
      </c>
      <c r="N37" s="6">
        <v>4</v>
      </c>
      <c r="O37" s="4">
        <v>3716</v>
      </c>
      <c r="Q37" s="6">
        <v>4</v>
      </c>
      <c r="R37" s="4">
        <v>6100</v>
      </c>
    </row>
    <row r="38" spans="3:18" x14ac:dyDescent="0.25">
      <c r="C38" s="6" t="s">
        <v>36</v>
      </c>
      <c r="D38" s="4">
        <v>10940</v>
      </c>
      <c r="E38"/>
      <c r="K38" s="6" t="s">
        <v>28</v>
      </c>
      <c r="L38" s="4">
        <v>7027.6000000000013</v>
      </c>
      <c r="N38" s="6">
        <v>5</v>
      </c>
      <c r="O38" s="4">
        <v>2743</v>
      </c>
      <c r="Q38" s="6">
        <v>5</v>
      </c>
      <c r="R38" s="4">
        <v>5000</v>
      </c>
    </row>
    <row r="39" spans="3:18" x14ac:dyDescent="0.25">
      <c r="C39" s="6" t="s">
        <v>65</v>
      </c>
      <c r="D39" s="4">
        <v>65440</v>
      </c>
      <c r="E39"/>
      <c r="K39" s="6" t="s">
        <v>17</v>
      </c>
      <c r="L39" s="4">
        <v>16399.8</v>
      </c>
      <c r="N39" s="6">
        <v>6</v>
      </c>
      <c r="O39" s="4">
        <v>1094.9999999999998</v>
      </c>
      <c r="Q39" s="6">
        <v>6</v>
      </c>
      <c r="R39" s="4">
        <v>2340</v>
      </c>
    </row>
    <row r="40" spans="3:18" x14ac:dyDescent="0.25">
      <c r="C40"/>
      <c r="D40"/>
      <c r="E40"/>
      <c r="K40" s="6" t="s">
        <v>54</v>
      </c>
      <c r="L40" s="4">
        <v>225</v>
      </c>
      <c r="N40" s="6">
        <v>7</v>
      </c>
      <c r="O40" s="4">
        <v>2427.1999999999998</v>
      </c>
      <c r="Q40" s="6">
        <v>7</v>
      </c>
      <c r="R40" s="4">
        <v>5000</v>
      </c>
    </row>
    <row r="41" spans="3:18" x14ac:dyDescent="0.25">
      <c r="C41"/>
      <c r="D41"/>
      <c r="E41"/>
      <c r="K41" s="6" t="s">
        <v>20</v>
      </c>
      <c r="L41" s="4">
        <v>3514.6999999999989</v>
      </c>
      <c r="N41" s="6">
        <v>8</v>
      </c>
      <c r="O41" s="4">
        <v>1561.9</v>
      </c>
      <c r="Q41" s="6">
        <v>8</v>
      </c>
      <c r="R41" s="4">
        <v>1000</v>
      </c>
    </row>
    <row r="42" spans="3:18" x14ac:dyDescent="0.25">
      <c r="C42"/>
      <c r="D42"/>
      <c r="E42"/>
      <c r="K42" s="6" t="s">
        <v>65</v>
      </c>
      <c r="L42" s="4">
        <v>30191</v>
      </c>
      <c r="N42" s="6">
        <v>9</v>
      </c>
      <c r="O42" s="4">
        <v>1884.2</v>
      </c>
      <c r="Q42" s="6">
        <v>9</v>
      </c>
      <c r="R42" s="4">
        <v>5100</v>
      </c>
    </row>
    <row r="43" spans="3:18" x14ac:dyDescent="0.25">
      <c r="C43"/>
      <c r="D43"/>
      <c r="E43"/>
      <c r="K43"/>
      <c r="L43"/>
      <c r="N43" s="6">
        <v>10</v>
      </c>
      <c r="O43" s="4">
        <v>2457.6</v>
      </c>
      <c r="Q43" s="6">
        <v>10</v>
      </c>
      <c r="R43" s="4">
        <v>5000</v>
      </c>
    </row>
    <row r="44" spans="3:18" x14ac:dyDescent="0.25">
      <c r="C44"/>
      <c r="D44"/>
      <c r="E44"/>
      <c r="K44"/>
      <c r="L44"/>
      <c r="N44" s="6">
        <v>11</v>
      </c>
      <c r="O44" s="4">
        <v>1028.2</v>
      </c>
      <c r="Q44" s="6">
        <v>11</v>
      </c>
      <c r="R44" s="4">
        <v>200</v>
      </c>
    </row>
    <row r="45" spans="3:18" x14ac:dyDescent="0.25">
      <c r="C45"/>
      <c r="D45"/>
      <c r="E45"/>
      <c r="K45"/>
      <c r="L45"/>
      <c r="N45" s="6">
        <v>12</v>
      </c>
      <c r="O45" s="4">
        <v>2486.6999999999994</v>
      </c>
      <c r="Q45" s="6">
        <v>12</v>
      </c>
      <c r="R45" s="4">
        <v>5000</v>
      </c>
    </row>
    <row r="46" spans="3:18" x14ac:dyDescent="0.25">
      <c r="C46"/>
      <c r="D46"/>
      <c r="E46"/>
      <c r="K46"/>
      <c r="L46"/>
      <c r="N46" s="6" t="s">
        <v>65</v>
      </c>
      <c r="O46" s="4">
        <v>30191.000000000004</v>
      </c>
      <c r="Q46" s="6" t="s">
        <v>65</v>
      </c>
      <c r="R46" s="4">
        <v>65440</v>
      </c>
    </row>
    <row r="47" spans="3:18" x14ac:dyDescent="0.25">
      <c r="C47"/>
      <c r="D47"/>
      <c r="E47"/>
      <c r="K47"/>
      <c r="L47"/>
    </row>
    <row r="48" spans="3:18" x14ac:dyDescent="0.25">
      <c r="C48"/>
      <c r="D48"/>
      <c r="E48"/>
      <c r="K48"/>
      <c r="L48"/>
    </row>
    <row r="49" spans="3:12" x14ac:dyDescent="0.25">
      <c r="C49"/>
      <c r="D49"/>
      <c r="E49"/>
      <c r="K49"/>
      <c r="L49"/>
    </row>
    <row r="50" spans="3:12" x14ac:dyDescent="0.25">
      <c r="C50"/>
      <c r="D50"/>
      <c r="K50"/>
      <c r="L50"/>
    </row>
    <row r="51" spans="3:12" x14ac:dyDescent="0.25">
      <c r="C51"/>
      <c r="D51"/>
      <c r="K51"/>
      <c r="L51"/>
    </row>
    <row r="52" spans="3:12" x14ac:dyDescent="0.25">
      <c r="C52"/>
      <c r="D52"/>
      <c r="K52"/>
      <c r="L52"/>
    </row>
    <row r="53" spans="3:12" x14ac:dyDescent="0.25">
      <c r="C53"/>
      <c r="D53"/>
      <c r="K53"/>
      <c r="L53"/>
    </row>
    <row r="54" spans="3:12" x14ac:dyDescent="0.25">
      <c r="C54"/>
      <c r="D54"/>
      <c r="K54"/>
      <c r="L54"/>
    </row>
    <row r="55" spans="3:12" x14ac:dyDescent="0.25">
      <c r="C55"/>
      <c r="D55"/>
      <c r="K55"/>
      <c r="L55"/>
    </row>
    <row r="56" spans="3:12" x14ac:dyDescent="0.25">
      <c r="C56"/>
      <c r="D56"/>
      <c r="K56"/>
      <c r="L56"/>
    </row>
    <row r="57" spans="3:12" x14ac:dyDescent="0.25">
      <c r="C57"/>
      <c r="D57"/>
      <c r="K57"/>
      <c r="L57"/>
    </row>
    <row r="58" spans="3:12" x14ac:dyDescent="0.25">
      <c r="C58"/>
      <c r="D58"/>
      <c r="K58"/>
      <c r="L58"/>
    </row>
    <row r="59" spans="3:12" x14ac:dyDescent="0.25">
      <c r="C59"/>
      <c r="D59"/>
      <c r="K59"/>
      <c r="L59"/>
    </row>
    <row r="60" spans="3:12" x14ac:dyDescent="0.25">
      <c r="K60"/>
      <c r="L60"/>
    </row>
    <row r="61" spans="3:12" x14ac:dyDescent="0.25">
      <c r="K61"/>
      <c r="L61"/>
    </row>
    <row r="62" spans="3:12" x14ac:dyDescent="0.25">
      <c r="K62"/>
      <c r="L62"/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Analyst - Dashboard</vt:lpstr>
      <vt:lpstr>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Tran Tuan</cp:lastModifiedBy>
  <dcterms:created xsi:type="dcterms:W3CDTF">2021-12-12T19:13:53Z</dcterms:created>
  <dcterms:modified xsi:type="dcterms:W3CDTF">2026-04-25T12:10:34Z</dcterms:modified>
</cp:coreProperties>
</file>